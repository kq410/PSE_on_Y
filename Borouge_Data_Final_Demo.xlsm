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MyBourouge-git\ExcelDemo\PSE_on_Y_4_July\"/>
    </mc:Choice>
  </mc:AlternateContent>
  <bookViews>
    <workbookView xWindow="0" yWindow="0" windowWidth="28800" windowHeight="14010" tabRatio="782" firstSheet="7" activeTab="7"/>
  </bookViews>
  <sheets>
    <sheet name="Sheet1" sheetId="1" state="hidden" r:id="rId1"/>
    <sheet name="Sets" sheetId="2" state="hidden" r:id="rId2"/>
    <sheet name="Par" sheetId="4" state="hidden" r:id="rId3"/>
    <sheet name="Par (2)" sheetId="9" state="hidden" r:id="rId4"/>
    <sheet name="Sheet2" sheetId="6" state="hidden" r:id="rId5"/>
    <sheet name="Table" sheetId="5" state="hidden" r:id="rId6"/>
    <sheet name="Main" sheetId="22" r:id="rId7"/>
    <sheet name="Production Plan - Olefins" sheetId="33" r:id="rId8"/>
    <sheet name="1. Production Plan - Olefins" sheetId="28" r:id="rId9"/>
    <sheet name=" 2Production Plan - Polyolefins" sheetId="29" r:id="rId10"/>
    <sheet name="3. Inventory - Ruwais" sheetId="23" r:id="rId11"/>
    <sheet name="4. Inventory - IHPs" sheetId="31" r:id="rId12"/>
    <sheet name="5. Demand fulfilement" sheetId="32" r:id="rId13"/>
    <sheet name="Assumptions &amp; simplifications" sheetId="12" r:id="rId14"/>
    <sheet name="set" sheetId="20" r:id="rId15"/>
    <sheet name="ProductionOlefins" sheetId="3" r:id="rId16"/>
    <sheet name="ProductionPolyolefins" sheetId="7" r:id="rId17"/>
    <sheet name="WarehousesShipping" sheetId="19" r:id="rId18"/>
    <sheet name="ScenarioAvailability" sheetId="8" r:id="rId19"/>
    <sheet name="ScenarioSales" sheetId="10" r:id="rId20"/>
    <sheet name="ScenarioPurchases" sheetId="11" r:id="rId21"/>
    <sheet name="AdditionalParameters" sheetId="21" r:id="rId22"/>
    <sheet name="Sheet9" sheetId="18" state="hidden" r:id="rId23"/>
  </sheets>
  <functionGroups builtInGroupCount="18"/>
  <definedNames>
    <definedName name="_xlnm.Print_Area" localSheetId="15">ProductionOlefins!$B$1:$K$89</definedName>
    <definedName name="_xlnm.Print_Area" localSheetId="16">ProductionPolyolefins!$A$1:$O$43</definedName>
    <definedName name="_xlnm.Print_Area" localSheetId="19">ScenarioSales!$B$1:$Q$143</definedName>
    <definedName name="_xlnm.Print_Area" localSheetId="17">WarehousesShipping!$A$1:$O$20</definedName>
  </definedNames>
  <calcPr calcId="162913"/>
</workbook>
</file>

<file path=xl/calcChain.xml><?xml version="1.0" encoding="utf-8"?>
<calcChain xmlns="http://schemas.openxmlformats.org/spreadsheetml/2006/main">
  <c r="E50" i="31" l="1"/>
  <c r="F50" i="31" s="1"/>
  <c r="G50" i="31" s="1"/>
  <c r="H50" i="31" s="1"/>
  <c r="I50" i="31" s="1"/>
  <c r="J50" i="31" s="1"/>
  <c r="K50" i="31" s="1"/>
  <c r="L50" i="31" s="1"/>
  <c r="M50" i="31" s="1"/>
  <c r="N50" i="31" s="1"/>
  <c r="O50" i="31" s="1"/>
  <c r="P50" i="31" s="1"/>
  <c r="E32" i="31"/>
  <c r="F32" i="31" s="1"/>
  <c r="G32" i="31" s="1"/>
  <c r="H32" i="31" s="1"/>
  <c r="I32" i="31" s="1"/>
  <c r="J32" i="31" s="1"/>
  <c r="K32" i="31" s="1"/>
  <c r="L32" i="31" s="1"/>
  <c r="M32" i="31" s="1"/>
  <c r="N32" i="31" s="1"/>
  <c r="O32" i="31" s="1"/>
  <c r="P32" i="31" s="1"/>
  <c r="E14" i="31"/>
  <c r="F14" i="31" s="1"/>
  <c r="G14" i="31" s="1"/>
  <c r="H14" i="31" s="1"/>
  <c r="I14" i="31" s="1"/>
  <c r="J14" i="31" s="1"/>
  <c r="K14" i="31" s="1"/>
  <c r="L14" i="31" s="1"/>
  <c r="M14" i="31" s="1"/>
  <c r="N14" i="31" s="1"/>
  <c r="O14" i="31" s="1"/>
  <c r="P14" i="31" s="1"/>
  <c r="E13" i="23"/>
  <c r="F13" i="23" s="1"/>
  <c r="G13" i="23" s="1"/>
  <c r="H13" i="23" s="1"/>
  <c r="I13" i="23" s="1"/>
  <c r="J13" i="23" s="1"/>
  <c r="K13" i="23" s="1"/>
  <c r="L13" i="23" s="1"/>
  <c r="M13" i="23" s="1"/>
  <c r="N13" i="23" s="1"/>
  <c r="O13" i="23" s="1"/>
  <c r="P13" i="23" s="1"/>
  <c r="G11" i="28"/>
  <c r="H11" i="28" s="1"/>
  <c r="I11" i="28" s="1"/>
  <c r="J11" i="28" s="1"/>
  <c r="K11" i="28" s="1"/>
  <c r="L11" i="28" s="1"/>
  <c r="M11" i="28" s="1"/>
  <c r="N11" i="28" s="1"/>
  <c r="O11" i="28" s="1"/>
  <c r="P11" i="28" s="1"/>
  <c r="Q11" i="28" s="1"/>
  <c r="E14" i="3" l="1"/>
  <c r="D14" i="3"/>
  <c r="F18" i="3"/>
  <c r="F19" i="3"/>
  <c r="F17" i="3"/>
  <c r="E15" i="3"/>
  <c r="E16" i="3"/>
  <c r="D15" i="3"/>
  <c r="D16" i="3"/>
  <c r="H28" i="7" l="1"/>
  <c r="G28" i="7"/>
  <c r="F21" i="7"/>
  <c r="E21" i="7"/>
  <c r="D21" i="7"/>
  <c r="H29" i="4" l="1"/>
  <c r="G29" i="4"/>
  <c r="F29" i="4"/>
  <c r="E29" i="4"/>
  <c r="D29" i="4"/>
</calcChain>
</file>

<file path=xl/comments1.xml><?xml version="1.0" encoding="utf-8"?>
<comments xmlns="http://schemas.openxmlformats.org/spreadsheetml/2006/main">
  <authors>
    <author>sysprep</author>
  </authors>
  <commentList>
    <comment ref="A7" authorId="0" shapeId="0">
      <text>
        <r>
          <rPr>
            <b/>
            <sz val="9"/>
            <color indexed="81"/>
            <rFont val="Tahoma"/>
            <family val="2"/>
          </rPr>
          <t>sysprep:</t>
        </r>
        <r>
          <rPr>
            <sz val="9"/>
            <color indexed="81"/>
            <rFont val="Tahoma"/>
            <family val="2"/>
          </rPr>
          <t xml:space="preserve">
Modified title &amp; font size
Sheet name has also been modified.</t>
        </r>
      </text>
    </comment>
    <comment ref="F11" authorId="0" shapeId="0">
      <text>
        <r>
          <rPr>
            <b/>
            <sz val="9"/>
            <color indexed="81"/>
            <rFont val="Tahoma"/>
            <family val="2"/>
          </rPr>
          <t>sysprep:</t>
        </r>
        <r>
          <rPr>
            <sz val="9"/>
            <color indexed="81"/>
            <rFont val="Tahoma"/>
            <family val="2"/>
          </rPr>
          <t xml:space="preserve">
Add dates, starting from Sunday 1 September 2019.
[Same on all sheets]</t>
        </r>
      </text>
    </comment>
    <comment ref="F13" authorId="0" shapeId="0">
      <text>
        <r>
          <rPr>
            <b/>
            <sz val="9"/>
            <color indexed="81"/>
            <rFont val="Tahoma"/>
            <family val="2"/>
          </rPr>
          <t>sysprep:</t>
        </r>
        <r>
          <rPr>
            <sz val="9"/>
            <color indexed="81"/>
            <rFont val="Tahoma"/>
            <family val="2"/>
          </rPr>
          <t xml:space="preserve">
Units are actually "kte", not "kte/day".
Now repeated in all columns</t>
        </r>
      </text>
    </comment>
    <comment ref="B14" authorId="0" shapeId="0">
      <text>
        <r>
          <rPr>
            <b/>
            <sz val="9"/>
            <color indexed="81"/>
            <rFont val="Tahoma"/>
            <family val="2"/>
          </rPr>
          <t>sysprep:</t>
        </r>
        <r>
          <rPr>
            <sz val="9"/>
            <color indexed="81"/>
            <rFont val="Tahoma"/>
            <family val="2"/>
          </rPr>
          <t xml:space="preserve">
Note alternating yellow-green colours for the production units on this sheet.</t>
        </r>
      </text>
    </comment>
    <comment ref="C14" authorId="0" shapeId="0">
      <text>
        <r>
          <rPr>
            <b/>
            <sz val="9"/>
            <color indexed="81"/>
            <rFont val="Tahoma"/>
            <family val="2"/>
          </rPr>
          <t>sysprep:</t>
        </r>
        <r>
          <rPr>
            <sz val="9"/>
            <color indexed="81"/>
            <rFont val="Tahoma"/>
            <family val="2"/>
          </rPr>
          <t xml:space="preserve">
in this sheet, production units must always appear in the order they appear in sheet "ProductionOlefins"
 not alphabetical</t>
        </r>
      </text>
    </comment>
    <comment ref="D14" authorId="0" shapeId="0">
      <text>
        <r>
          <rPr>
            <b/>
            <sz val="9"/>
            <color indexed="81"/>
            <rFont val="Tahoma"/>
            <family val="2"/>
          </rPr>
          <t>sysprep:</t>
        </r>
        <r>
          <rPr>
            <sz val="9"/>
            <color indexed="81"/>
            <rFont val="Tahoma"/>
            <family val="2"/>
          </rPr>
          <t xml:space="preserve">
Only show raw metarials that (a) are listed in Column D of rows 28-75 in "ProductionOlefins" and (b) have at least one non-zero entry in columns E-L of the corresponding row.
So, for example, "Fuel Gas" should never be listed as a raw material. In fact the only raw materials are 
* ethane &amp; propane for EU1,2,3
* ethylene for OCU and BU1,3</t>
        </r>
      </text>
    </comment>
    <comment ref="F14" authorId="0" shapeId="0">
      <text>
        <r>
          <rPr>
            <b/>
            <sz val="9"/>
            <color indexed="81"/>
            <rFont val="Tahoma"/>
            <family val="2"/>
          </rPr>
          <t>sysprep:</t>
        </r>
        <r>
          <rPr>
            <sz val="9"/>
            <color indexed="81"/>
            <rFont val="Tahoma"/>
            <family val="2"/>
          </rPr>
          <t xml:space="preserve">
Show entries in this table with at 3 decimal digits</t>
        </r>
      </text>
    </comment>
  </commentList>
</comments>
</file>

<file path=xl/comments2.xml><?xml version="1.0" encoding="utf-8"?>
<comments xmlns="http://schemas.openxmlformats.org/spreadsheetml/2006/main">
  <authors>
    <author>sysprep</author>
  </authors>
  <commentList>
    <comment ref="C15" authorId="0" shapeId="0">
      <text>
        <r>
          <rPr>
            <sz val="9"/>
            <color indexed="81"/>
            <rFont val="Tahoma"/>
            <family val="2"/>
          </rPr>
          <t>sysprep:Polymer lines in this column must appear in the same order as they are defined in sheet "ProductionPolyolefins"</t>
        </r>
      </text>
    </comment>
    <comment ref="D15" authorId="0" shapeId="0">
      <text>
        <r>
          <rPr>
            <b/>
            <sz val="9"/>
            <color indexed="81"/>
            <rFont val="Tahoma"/>
            <family val="2"/>
          </rPr>
          <t>sysprep:</t>
        </r>
        <r>
          <rPr>
            <sz val="9"/>
            <color indexed="81"/>
            <rFont val="Tahoma"/>
            <family val="2"/>
          </rPr>
          <t xml:space="preserve">
The raw materials for a polymer line xxxx are those that 
(a) appear in coliumn C of rows 33-40 in sheet "ProductionPolyolefins" AND 
(b) have a non-zero entry in column D-M 
(c ) …for any polymer grade that can be produced in line xxxx as shown in rows 5-14 of "ProductionPolyolefins".
For example, take line EU1-PE1:
* according to rows 5-14, it can produce grades gPE1, gPE2, gPE3
* according to rows 33-40, gPE1, gPE2 and gPE3 require raw materials Ethylene and Butene.
Therefore, on this sheet, line EU1-PE1 must have
* 2 "Raw materials" rows corresponding to ethylene &amp; butene 
* 3 "Products" rows corresponding to gPE1, gPE2 &amp; gPE3
</t>
        </r>
      </text>
    </comment>
  </commentList>
</comments>
</file>

<file path=xl/comments3.xml><?xml version="1.0" encoding="utf-8"?>
<comments xmlns="http://schemas.openxmlformats.org/spreadsheetml/2006/main">
  <authors>
    <author>sysprep</author>
  </authors>
  <commentList>
    <comment ref="B15" authorId="0" shapeId="0">
      <text>
        <r>
          <rPr>
            <b/>
            <sz val="9"/>
            <color indexed="81"/>
            <rFont val="Tahoma"/>
            <family val="2"/>
          </rPr>
          <t>sysprep:</t>
        </r>
        <r>
          <rPr>
            <sz val="9"/>
            <color indexed="81"/>
            <rFont val="Tahoma"/>
            <family val="2"/>
          </rPr>
          <t xml:space="preserve">
Entries in this column copied from row 79 in "ProductionOlefins"
</t>
        </r>
      </text>
    </comment>
    <comment ref="C15" authorId="0" shapeId="0">
      <text>
        <r>
          <rPr>
            <b/>
            <sz val="9"/>
            <color indexed="81"/>
            <rFont val="Tahoma"/>
            <family val="2"/>
          </rPr>
          <t>sysprep:</t>
        </r>
        <r>
          <rPr>
            <sz val="9"/>
            <color indexed="81"/>
            <rFont val="Tahoma"/>
            <family val="2"/>
          </rPr>
          <t xml:space="preserve">
Entries in this column copied from row 84 in "ProductionOlefins"</t>
        </r>
      </text>
    </comment>
    <comment ref="D15" authorId="0" shapeId="0">
      <text>
        <r>
          <rPr>
            <b/>
            <sz val="9"/>
            <color indexed="81"/>
            <rFont val="Tahoma"/>
            <family val="2"/>
          </rPr>
          <t>sysprep:</t>
        </r>
        <r>
          <rPr>
            <sz val="9"/>
            <color indexed="81"/>
            <rFont val="Tahoma"/>
            <family val="2"/>
          </rPr>
          <t xml:space="preserve">
Entries in this column copied from row 89 in "ProductionOlefins"</t>
        </r>
      </text>
    </comment>
  </commentList>
</comments>
</file>

<file path=xl/comments4.xml><?xml version="1.0" encoding="utf-8"?>
<comments xmlns="http://schemas.openxmlformats.org/spreadsheetml/2006/main">
  <authors>
    <author>sysprep</author>
  </authors>
  <commentList>
    <comment ref="C16" authorId="0" shapeId="0">
      <text>
        <r>
          <rPr>
            <b/>
            <sz val="9"/>
            <color indexed="81"/>
            <rFont val="Tahoma"/>
            <family val="2"/>
          </rPr>
          <t>sysprep:</t>
        </r>
        <r>
          <rPr>
            <sz val="9"/>
            <color indexed="81"/>
            <rFont val="Tahoma"/>
            <family val="2"/>
          </rPr>
          <t xml:space="preserve">
Entries in this column should be copied (I haven't done here!) from column D in rows 10-19 in "WarehousesShipping"
</t>
        </r>
      </text>
    </comment>
    <comment ref="C34" authorId="0" shapeId="0">
      <text>
        <r>
          <rPr>
            <b/>
            <sz val="9"/>
            <color indexed="81"/>
            <rFont val="Tahoma"/>
            <family val="2"/>
          </rPr>
          <t>sysprep:</t>
        </r>
        <r>
          <rPr>
            <sz val="9"/>
            <color indexed="81"/>
            <rFont val="Tahoma"/>
            <family val="2"/>
          </rPr>
          <t xml:space="preserve">
Entries in this column should be copied (I haven't done here!) from column E in rows 10-19 in "WarehousesShipping"
</t>
        </r>
      </text>
    </comment>
    <comment ref="C52" authorId="0" shapeId="0">
      <text>
        <r>
          <rPr>
            <b/>
            <sz val="9"/>
            <color indexed="81"/>
            <rFont val="Tahoma"/>
            <family val="2"/>
          </rPr>
          <t>sysprep:</t>
        </r>
        <r>
          <rPr>
            <sz val="9"/>
            <color indexed="81"/>
            <rFont val="Tahoma"/>
            <family val="2"/>
          </rPr>
          <t xml:space="preserve">
Entries in this column should be copied (I haven't done here!) from column E in rows 10-19 in "WarehousesShipping"
</t>
        </r>
      </text>
    </comment>
  </commentList>
</comments>
</file>

<file path=xl/comments5.xml><?xml version="1.0" encoding="utf-8"?>
<comments xmlns="http://schemas.openxmlformats.org/spreadsheetml/2006/main">
  <authors>
    <author>sysprep</author>
  </authors>
  <commentList>
    <comment ref="K11" authorId="0" shapeId="0">
      <text>
        <r>
          <rPr>
            <b/>
            <sz val="9"/>
            <color indexed="81"/>
            <rFont val="Tahoma"/>
            <family val="2"/>
          </rPr>
          <t>sysprep:</t>
        </r>
        <r>
          <rPr>
            <sz val="9"/>
            <color indexed="81"/>
            <rFont val="Tahoma"/>
            <family val="2"/>
          </rPr>
          <t xml:space="preserve">
This is F*G - I*J
(letters denote columns)</t>
        </r>
      </text>
    </comment>
  </commentList>
</comments>
</file>

<file path=xl/comments6.xml><?xml version="1.0" encoding="utf-8"?>
<comments xmlns="http://schemas.openxmlformats.org/spreadsheetml/2006/main">
  <authors>
    <author>sysprep</author>
  </authors>
  <commentList>
    <comment ref="A15" authorId="0" shapeId="0">
      <text>
        <r>
          <rPr>
            <b/>
            <sz val="9"/>
            <color indexed="81"/>
            <rFont val="Tahoma"/>
            <family val="2"/>
          </rPr>
          <t>sysprep:</t>
        </r>
        <r>
          <rPr>
            <sz val="9"/>
            <color indexed="81"/>
            <rFont val="Tahoma"/>
            <family val="2"/>
          </rPr>
          <t xml:space="preserve">
reorder rows 15, 18, 21 as follows: 
1 monomer plant materials
2. polymer grades
3. customers</t>
        </r>
      </text>
    </comment>
  </commentList>
</comments>
</file>

<file path=xl/comments7.xml><?xml version="1.0" encoding="utf-8"?>
<comments xmlns="http://schemas.openxmlformats.org/spreadsheetml/2006/main">
  <authors>
    <author>sysprep</author>
  </authors>
  <commentList>
    <comment ref="B88" authorId="0" shapeId="0">
      <text>
        <r>
          <rPr>
            <b/>
            <sz val="9"/>
            <color indexed="81"/>
            <rFont val="Tahoma"/>
            <family val="2"/>
          </rPr>
          <t>sysprep:</t>
        </r>
        <r>
          <rPr>
            <sz val="9"/>
            <color indexed="81"/>
            <rFont val="Tahoma"/>
            <family val="2"/>
          </rPr>
          <t xml:space="preserve">
Move rows 88-90 to sheet "ScenarioPurchases"</t>
        </r>
      </text>
    </comment>
  </commentList>
</comments>
</file>

<file path=xl/comments8.xml><?xml version="1.0" encoding="utf-8"?>
<comments xmlns="http://schemas.openxmlformats.org/spreadsheetml/2006/main">
  <authors>
    <author>sysprep</author>
  </authors>
  <commentList>
    <comment ref="B5" authorId="0" shapeId="0">
      <text>
        <r>
          <rPr>
            <b/>
            <sz val="9"/>
            <color indexed="81"/>
            <rFont val="Tahoma"/>
            <family val="2"/>
          </rPr>
          <t>sysprep:</t>
        </r>
        <r>
          <rPr>
            <sz val="9"/>
            <color indexed="81"/>
            <rFont val="Tahoma"/>
            <family val="2"/>
          </rPr>
          <t xml:space="preserve">
Note changes to this table
</t>
        </r>
      </text>
    </comment>
    <comment ref="B23" authorId="0" shapeId="0">
      <text>
        <r>
          <rPr>
            <b/>
            <sz val="9"/>
            <color indexed="81"/>
            <rFont val="Tahoma"/>
            <family val="2"/>
          </rPr>
          <t>sysprep:</t>
        </r>
        <r>
          <rPr>
            <sz val="9"/>
            <color indexed="81"/>
            <rFont val="Tahoma"/>
            <family val="2"/>
          </rPr>
          <t xml:space="preserve">
Rename this worksheet to "IHPs"
Move here the "Upper bound for each grade" and "Penalty coefficient for each customer" tables from "AdditionalParameters"</t>
        </r>
      </text>
    </comment>
  </commentList>
</comments>
</file>

<file path=xl/comments9.xml><?xml version="1.0" encoding="utf-8"?>
<comments xmlns="http://schemas.openxmlformats.org/spreadsheetml/2006/main">
  <authors>
    <author>sysprep</author>
  </authors>
  <commentList>
    <comment ref="D145" authorId="0" shapeId="0">
      <text>
        <r>
          <rPr>
            <b/>
            <sz val="9"/>
            <color indexed="81"/>
            <rFont val="Tahoma"/>
            <family val="2"/>
          </rPr>
          <t>sysprep:</t>
        </r>
        <r>
          <rPr>
            <sz val="9"/>
            <color indexed="81"/>
            <rFont val="Tahoma"/>
            <family val="2"/>
          </rPr>
          <t xml:space="preserve">
Move S_min, S_max tables from "AdditionalParameters" to here
</t>
        </r>
      </text>
    </comment>
  </commentList>
</comments>
</file>

<file path=xl/sharedStrings.xml><?xml version="1.0" encoding="utf-8"?>
<sst xmlns="http://schemas.openxmlformats.org/spreadsheetml/2006/main" count="1722" uniqueCount="334">
  <si>
    <t>dim</t>
  </si>
  <si>
    <t>rdim</t>
  </si>
  <si>
    <t>cdim</t>
  </si>
  <si>
    <t>set</t>
  </si>
  <si>
    <t>i</t>
  </si>
  <si>
    <t>j</t>
  </si>
  <si>
    <t>k</t>
  </si>
  <si>
    <t>l</t>
  </si>
  <si>
    <t>t</t>
  </si>
  <si>
    <t>par</t>
  </si>
  <si>
    <t>index</t>
  </si>
  <si>
    <t>Description</t>
  </si>
  <si>
    <t>p</t>
  </si>
  <si>
    <t>Sets!D2:Y2</t>
  </si>
  <si>
    <t>Sets!D5:P5</t>
  </si>
  <si>
    <t>Sets!D7:G7</t>
  </si>
  <si>
    <t>Sets!D11:E11</t>
  </si>
  <si>
    <t>ExoR</t>
  </si>
  <si>
    <t>LRR</t>
  </si>
  <si>
    <t>Sets!B20:O25</t>
  </si>
  <si>
    <t>RC</t>
  </si>
  <si>
    <t>Sets!B28:O40</t>
  </si>
  <si>
    <t>product</t>
  </si>
  <si>
    <t>Sets!B45:O58</t>
  </si>
  <si>
    <t>BpMM</t>
  </si>
  <si>
    <t>TRM</t>
  </si>
  <si>
    <t>fc</t>
  </si>
  <si>
    <t>Mfc</t>
  </si>
  <si>
    <t>CH</t>
  </si>
  <si>
    <t>Pol</t>
  </si>
  <si>
    <t>Sets!D15:P15</t>
  </si>
  <si>
    <t>Sets!Q15:X15</t>
  </si>
  <si>
    <t>So</t>
  </si>
  <si>
    <t>Aso</t>
  </si>
  <si>
    <t>Bp</t>
  </si>
  <si>
    <t>Par!C3:X4</t>
  </si>
  <si>
    <t>Sets!D15:K15</t>
  </si>
  <si>
    <t>Sets!H2:H2</t>
  </si>
  <si>
    <t>Sets!Y15:Y15</t>
  </si>
  <si>
    <t>Sets!D2:D2</t>
  </si>
  <si>
    <t>dsf</t>
  </si>
  <si>
    <t>Par!C7:D8</t>
  </si>
  <si>
    <t>alpha</t>
  </si>
  <si>
    <t>Par!C17:O18</t>
  </si>
  <si>
    <t>x</t>
  </si>
  <si>
    <t>Par!C21:O22</t>
  </si>
  <si>
    <t>yPara</t>
  </si>
  <si>
    <t>Par!C25:C26</t>
  </si>
  <si>
    <t>MW</t>
  </si>
  <si>
    <t>Par!C29:X30</t>
  </si>
  <si>
    <t>Par!C33:X34</t>
  </si>
  <si>
    <t>Par!C38:X39</t>
  </si>
  <si>
    <t>Par!C43:X44</t>
  </si>
  <si>
    <t>Par!C47:O48</t>
  </si>
  <si>
    <t>v</t>
  </si>
  <si>
    <t>Table!C5:P26</t>
  </si>
  <si>
    <t>Sets!D17:M17</t>
  </si>
  <si>
    <t>Sets!B87:L100</t>
  </si>
  <si>
    <t>Par!C12:X13</t>
  </si>
  <si>
    <t>m_c</t>
  </si>
  <si>
    <t>Cple</t>
  </si>
  <si>
    <t>Cpge</t>
  </si>
  <si>
    <t>hve</t>
  </si>
  <si>
    <t>Delta_HR_Ste</t>
  </si>
  <si>
    <t>Sets!D13:FG13</t>
  </si>
  <si>
    <t>Sets!B61:P83</t>
  </si>
  <si>
    <t>Sets!D9:G9</t>
  </si>
  <si>
    <t>all chemicals</t>
  </si>
  <si>
    <t>propane</t>
  </si>
  <si>
    <t>ethane</t>
  </si>
  <si>
    <t>ethylene</t>
  </si>
  <si>
    <t>propylene</t>
  </si>
  <si>
    <t>PE1</t>
  </si>
  <si>
    <t>PE2</t>
  </si>
  <si>
    <t>time periods</t>
  </si>
  <si>
    <t>h</t>
  </si>
  <si>
    <t>IHP centres</t>
  </si>
  <si>
    <t>c</t>
  </si>
  <si>
    <t>customers</t>
  </si>
  <si>
    <t>c1</t>
  </si>
  <si>
    <t>g(p)</t>
  </si>
  <si>
    <t>grade products</t>
  </si>
  <si>
    <t>o(p)</t>
  </si>
  <si>
    <t>olefin intermediates</t>
  </si>
  <si>
    <t>p_min(i)</t>
  </si>
  <si>
    <t>p_max(i)</t>
  </si>
  <si>
    <t>PR(g,j)</t>
  </si>
  <si>
    <t>Production rate (t/day)</t>
  </si>
  <si>
    <t>tao(g,j)</t>
  </si>
  <si>
    <t>minimum runtime (days)</t>
  </si>
  <si>
    <t>f(t)</t>
  </si>
  <si>
    <t>time of each period (days)</t>
  </si>
  <si>
    <t>phi(t)</t>
  </si>
  <si>
    <t>available fraction of period</t>
  </si>
  <si>
    <t>miu(o,i)</t>
  </si>
  <si>
    <t>n(o,g)</t>
  </si>
  <si>
    <t>Consumption of o for g</t>
  </si>
  <si>
    <t>D(g,c,t)</t>
  </si>
  <si>
    <t>SP(g,c)</t>
  </si>
  <si>
    <t>sale price of g to c</t>
  </si>
  <si>
    <t>SO(o)</t>
  </si>
  <si>
    <t>export price of olefin</t>
  </si>
  <si>
    <t>PC(o)</t>
  </si>
  <si>
    <t>Purchase price of olefin</t>
  </si>
  <si>
    <t>OC(i)</t>
  </si>
  <si>
    <t>OP(g,j)</t>
  </si>
  <si>
    <t>Operating cost of g in j</t>
  </si>
  <si>
    <t>LT(h)</t>
  </si>
  <si>
    <t>OCU</t>
  </si>
  <si>
    <t>EU1</t>
  </si>
  <si>
    <t>EU2</t>
  </si>
  <si>
    <t>EU3</t>
  </si>
  <si>
    <t>BU1</t>
  </si>
  <si>
    <t>BU2</t>
  </si>
  <si>
    <t>Min prodution rates - olefins(tpd)</t>
  </si>
  <si>
    <t>Max prodution rates - olefins(tpd)</t>
  </si>
  <si>
    <t>Grade/line proudction rates (0=unsuitable; tpd)</t>
  </si>
  <si>
    <t>pe1</t>
  </si>
  <si>
    <t>pe2</t>
  </si>
  <si>
    <t>pe3</t>
  </si>
  <si>
    <t>pe4</t>
  </si>
  <si>
    <t>pe5</t>
  </si>
  <si>
    <t>ldpe1</t>
  </si>
  <si>
    <t>xlpe1</t>
  </si>
  <si>
    <t>pp1</t>
  </si>
  <si>
    <t>pp2</t>
  </si>
  <si>
    <t>pp3</t>
  </si>
  <si>
    <t>pp4</t>
  </si>
  <si>
    <t>gPE1</t>
  </si>
  <si>
    <t>gPE2</t>
  </si>
  <si>
    <t>gPE3</t>
  </si>
  <si>
    <t>gLDPE1</t>
  </si>
  <si>
    <t>gLDPE2</t>
  </si>
  <si>
    <t>gXLPE1</t>
  </si>
  <si>
    <t>gXLPE2</t>
  </si>
  <si>
    <t>gPP1</t>
  </si>
  <si>
    <t>gPP2</t>
  </si>
  <si>
    <t>gPP3</t>
  </si>
  <si>
    <t xml:space="preserve">prod coefficient of each olefin </t>
  </si>
  <si>
    <t>butene</t>
  </si>
  <si>
    <t>c2</t>
  </si>
  <si>
    <t>c3</t>
  </si>
  <si>
    <t>Demand (by grade, customer, time)</t>
  </si>
  <si>
    <t>Operating cost of olefin nplant  i</t>
  </si>
  <si>
    <t>lead time to hub</t>
  </si>
  <si>
    <t>UAE</t>
  </si>
  <si>
    <t>AS</t>
  </si>
  <si>
    <t>AN</t>
  </si>
  <si>
    <t>olefin plants</t>
  </si>
  <si>
    <t>polymer plants</t>
  </si>
  <si>
    <t>IH_ini_level(g,h)</t>
  </si>
  <si>
    <t>initial stocks of olefins</t>
  </si>
  <si>
    <t>initial stocks of grades at hubs</t>
  </si>
  <si>
    <t>IC_ini_level(o)</t>
  </si>
  <si>
    <t>Ethane</t>
  </si>
  <si>
    <t>Propane</t>
  </si>
  <si>
    <t>Ethylene</t>
  </si>
  <si>
    <t>Propylene</t>
  </si>
  <si>
    <t>Butene</t>
  </si>
  <si>
    <t>Fuel Gas</t>
  </si>
  <si>
    <t>Hexene</t>
  </si>
  <si>
    <t>OLEFINS PRODUCTION</t>
  </si>
  <si>
    <t>Processing multipliers (mass basis)</t>
  </si>
  <si>
    <t>POLYOLEFINS PRODUCTION</t>
  </si>
  <si>
    <t>Blank/zero entries indicate that grade cannot be produced on line</t>
  </si>
  <si>
    <t>Catalyst</t>
  </si>
  <si>
    <t>Raw material requirements (mass basis)</t>
  </si>
  <si>
    <t>days</t>
  </si>
  <si>
    <t>PLANNING SCENARIO - PLANT AVAILABILITY</t>
  </si>
  <si>
    <t xml:space="preserve">PRODUCT DEMANDS </t>
  </si>
  <si>
    <t>UNIT PRICES</t>
  </si>
  <si>
    <t>Asia North</t>
  </si>
  <si>
    <t>Asia South</t>
  </si>
  <si>
    <t>PLANNING SCENARIO - POLYOLEFIN &amp; OLEFIN SALES</t>
  </si>
  <si>
    <t>PLANNING SCENARIO - MATERIAL PURCHASES</t>
  </si>
  <si>
    <t>LIQUEFIED OLEFIN SALES</t>
  </si>
  <si>
    <t>Toll  manufacturing</t>
  </si>
  <si>
    <t>Packing lines</t>
  </si>
  <si>
    <t>Packaged grades</t>
  </si>
  <si>
    <t xml:space="preserve">Interdependencies between PE and PP </t>
  </si>
  <si>
    <t>Currently ignored</t>
  </si>
  <si>
    <t>Currently subsumed within corresponding bulk grades</t>
  </si>
  <si>
    <t>Borouge sends a few grades to a 3rd party manufacturer where additional processing is done. The enhanced product is then sent back to Ruwais where it is used as a input into production process to produce other grades. In terms of planning, 3rd party manufacturer should be modeled to consider lead times (both transportation and production) and dependent requirements to be considered in production planning.</t>
  </si>
  <si>
    <t>Use of some PE grades in manufacturing some PP grades</t>
  </si>
  <si>
    <t>Key aspects</t>
  </si>
  <si>
    <t>Planning over multple periods of varying duration (e.g. 12 weeks + 15 months)</t>
  </si>
  <si>
    <t>Integrated olefins &amp; polyolefins planning</t>
  </si>
  <si>
    <t>Maximum storage capacity at Ruwais</t>
  </si>
  <si>
    <t>Completely flexible ethane/propane cracking at all 3 crackers</t>
  </si>
  <si>
    <r>
      <t xml:space="preserve">EU1, EU2, EU3 can process ethane or propane in </t>
    </r>
    <r>
      <rPr>
        <i/>
        <sz val="11"/>
        <color theme="1"/>
        <rFont val="Calibri"/>
        <family val="2"/>
        <scheme val="minor"/>
      </rPr>
      <t>any</t>
    </r>
    <r>
      <rPr>
        <sz val="11"/>
        <color theme="1"/>
        <rFont val="Calibri"/>
        <family val="2"/>
        <scheme val="minor"/>
      </rPr>
      <t xml:space="preserve"> proportion provided </t>
    </r>
    <r>
      <rPr>
        <i/>
        <sz val="11"/>
        <color theme="1"/>
        <rFont val="Calibri"/>
        <family val="2"/>
        <scheme val="minor"/>
      </rPr>
      <t>combined</t>
    </r>
    <r>
      <rPr>
        <sz val="11"/>
        <color theme="1"/>
        <rFont val="Calibri"/>
        <family val="2"/>
        <scheme val="minor"/>
      </rPr>
      <t xml:space="preserve"> throughput stays between minimum/maximum processing limits</t>
    </r>
  </si>
  <si>
    <t>HE6062</t>
  </si>
  <si>
    <t>HE3450H</t>
  </si>
  <si>
    <t>HE3490-LSH</t>
  </si>
  <si>
    <t>HE3490-LSH_E1</t>
  </si>
  <si>
    <t>HE3492-LSH</t>
  </si>
  <si>
    <t>HE3490-LS</t>
  </si>
  <si>
    <t>HE3450/HE6062</t>
  </si>
  <si>
    <t>ME6052</t>
  </si>
  <si>
    <t>LE8707</t>
  </si>
  <si>
    <t>ME3440</t>
  </si>
  <si>
    <t>ME3441</t>
  </si>
  <si>
    <t>HE3450</t>
  </si>
  <si>
    <t>Polyolefins production wheel ignored</t>
  </si>
  <si>
    <t>Assumptions &amp; features not taken into account by demo (will be included in full system)</t>
  </si>
  <si>
    <t>Demo system automatically determines amount of each bulk grade produced in each period, but does not take accout of transition costs</t>
  </si>
  <si>
    <t xml:space="preserve">Minimum safety inventory </t>
  </si>
  <si>
    <t>Processing cost (excl. raw materials)</t>
  </si>
  <si>
    <t>Min processing rates (feedstock basis)</t>
  </si>
  <si>
    <t>Max processing rates (feedstock basis)</t>
  </si>
  <si>
    <t>kte/day</t>
  </si>
  <si>
    <t>kte</t>
  </si>
  <si>
    <t>Production rates</t>
  </si>
  <si>
    <t>Minimum runtime</t>
  </si>
  <si>
    <t>$k/kte</t>
  </si>
  <si>
    <t>g</t>
  </si>
  <si>
    <t>m</t>
  </si>
  <si>
    <t>HC(h,c)</t>
  </si>
  <si>
    <t>monomer plants</t>
  </si>
  <si>
    <t>time period</t>
  </si>
  <si>
    <t>monomer plant materials</t>
  </si>
  <si>
    <t>IHP and customer mapping</t>
  </si>
  <si>
    <t>NC(UAE)</t>
  </si>
  <si>
    <t>KSC (Asia North)</t>
  </si>
  <si>
    <t>NC(Asia North)</t>
  </si>
  <si>
    <t>KSC (Asia South)</t>
  </si>
  <si>
    <t>NC(Asia South)</t>
  </si>
  <si>
    <t>KSC (UAE)</t>
  </si>
  <si>
    <t>P_min(i)</t>
  </si>
  <si>
    <t>miu(i,mp,m)</t>
  </si>
  <si>
    <t>IC_upper(m)</t>
  </si>
  <si>
    <t>IH_low(g,h)</t>
  </si>
  <si>
    <t>polymer plant availability</t>
  </si>
  <si>
    <t>phi(j,t)</t>
  </si>
  <si>
    <t>Duration of periods</t>
  </si>
  <si>
    <t>SP(g,c,t)</t>
  </si>
  <si>
    <t>SO(m)</t>
  </si>
  <si>
    <t>n(m,g)</t>
  </si>
  <si>
    <t>PC(m,t)</t>
  </si>
  <si>
    <t>weeks</t>
  </si>
  <si>
    <t>k$/kte</t>
  </si>
  <si>
    <t>IC_low(m)</t>
  </si>
  <si>
    <t>Minimum storage capacity at Ruwais</t>
  </si>
  <si>
    <t>P_max(i,m)</t>
  </si>
  <si>
    <t>Pumax</t>
  </si>
  <si>
    <t>Pumin</t>
  </si>
  <si>
    <t>EU1-PE1</t>
  </si>
  <si>
    <t>BU3</t>
  </si>
  <si>
    <t>EU1-PE2</t>
  </si>
  <si>
    <t>EU2-PE1</t>
  </si>
  <si>
    <t>EU1-PP1</t>
  </si>
  <si>
    <t>EU1-PP2</t>
  </si>
  <si>
    <t>EU1-PP3</t>
  </si>
  <si>
    <t>EU1-PP4</t>
  </si>
  <si>
    <t>EU3-PE1</t>
  </si>
  <si>
    <t>EU3-PE2</t>
  </si>
  <si>
    <t>EU3-LDPE</t>
  </si>
  <si>
    <t>EU3-XLPE</t>
  </si>
  <si>
    <t>IM(i,m)</t>
  </si>
  <si>
    <t>monomer plant and material mapping</t>
  </si>
  <si>
    <t xml:space="preserve">GJ(g,j) </t>
  </si>
  <si>
    <t>grade and polymer plant mapping</t>
  </si>
  <si>
    <t>min = 0.8max</t>
  </si>
  <si>
    <t>delta(t)-days</t>
  </si>
  <si>
    <t>IC_ini_level(m)</t>
  </si>
  <si>
    <t>initial level of m at Ruwais</t>
  </si>
  <si>
    <t>IH_upper(g,h)</t>
  </si>
  <si>
    <t>upper bound for each grade</t>
  </si>
  <si>
    <t xml:space="preserve">pie(c) </t>
  </si>
  <si>
    <t>S_max(m)</t>
  </si>
  <si>
    <t>maximum sale rate per day of m</t>
  </si>
  <si>
    <t>S_min(m)</t>
  </si>
  <si>
    <t>minimum sale rate per day of m</t>
  </si>
  <si>
    <t>FL_max(m)</t>
  </si>
  <si>
    <t>maximum flare rate per day of m</t>
  </si>
  <si>
    <t>FL_min(m)</t>
  </si>
  <si>
    <t>minimum flare rate per day of m</t>
  </si>
  <si>
    <t>Qtil(g,h,t)</t>
  </si>
  <si>
    <t>amount of grade g that arrives at IHP h over t because of preceding shipment</t>
  </si>
  <si>
    <t>Period</t>
  </si>
  <si>
    <t>Starting on</t>
  </si>
  <si>
    <t>Duration (days)</t>
  </si>
  <si>
    <t>Raw materials</t>
  </si>
  <si>
    <t>min</t>
  </si>
  <si>
    <t>max</t>
  </si>
  <si>
    <t>opt</t>
  </si>
  <si>
    <t>Products</t>
  </si>
  <si>
    <t>generated on 17:13:59 on 05 Jul 2019</t>
  </si>
  <si>
    <t>Optimal Production Plan - Polyolefins</t>
  </si>
  <si>
    <t>Optimal Production Plan - Olefins</t>
  </si>
  <si>
    <t xml:space="preserve">Advanced Supply Chain Optimisation Engine </t>
  </si>
  <si>
    <t>Safety Stock (kte)</t>
  </si>
  <si>
    <t>Storage capacity (kte)</t>
  </si>
  <si>
    <t>Inventory (kte) at end of period</t>
  </si>
  <si>
    <t>Initial</t>
  </si>
  <si>
    <t xml:space="preserve">Material Inventories - Ruwais </t>
  </si>
  <si>
    <t xml:space="preserve">Material Inventories - IHPs </t>
  </si>
  <si>
    <t>UAE Gateway</t>
  </si>
  <si>
    <t>IHP: Asia North</t>
  </si>
  <si>
    <t>IHP: Asia South</t>
  </si>
  <si>
    <t>Demand fulfilment</t>
  </si>
  <si>
    <t>Customer</t>
  </si>
  <si>
    <t>IHP</t>
  </si>
  <si>
    <t>Grade</t>
  </si>
  <si>
    <t>Amount (kte)</t>
  </si>
  <si>
    <t>Date (period)</t>
  </si>
  <si>
    <t>Customer order</t>
  </si>
  <si>
    <t>Deficiency (kte)</t>
  </si>
  <si>
    <t>Price (k$/kte)</t>
  </si>
  <si>
    <t>Nett revenue (k$)</t>
  </si>
  <si>
    <t>Penalty (k$/kte)</t>
  </si>
  <si>
    <t>Amount Delivered (kte)</t>
  </si>
  <si>
    <t>Medium-term Planning Tool</t>
  </si>
  <si>
    <t>polymer lines</t>
  </si>
  <si>
    <t>polymer grades</t>
  </si>
  <si>
    <t>IHPs</t>
  </si>
  <si>
    <t>penalty coefficient for each customer</t>
  </si>
  <si>
    <t>Shipping time</t>
  </si>
  <si>
    <t>From</t>
  </si>
  <si>
    <t>to</t>
  </si>
  <si>
    <t>Ruwais</t>
  </si>
  <si>
    <t>Maximum availability</t>
  </si>
  <si>
    <t>Unit Prices</t>
  </si>
  <si>
    <t>Minimum obligatory purchase</t>
  </si>
  <si>
    <t>Status</t>
  </si>
  <si>
    <t>Time taken to solve (secs)</t>
  </si>
  <si>
    <t>Time taken to extract solutions (secs)</t>
  </si>
  <si>
    <t>15/09/2019</t>
  </si>
  <si>
    <t>22/09/2019</t>
  </si>
  <si>
    <t>29/09/2019</t>
  </si>
  <si>
    <t>13/10/2019</t>
  </si>
  <si>
    <t>20/10/2019</t>
  </si>
  <si>
    <t>27/10/2019</t>
  </si>
  <si>
    <t>17/11/2019</t>
  </si>
  <si>
    <t>generated on 12:06:56 on 08 Jul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</si>
</sst>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
      <sz val="18"/>
      <color theme="1"/>
      <name val="Calibri"/>
      <family val="2"/>
      <scheme val="minor"/>
    </font>
    <font>
      <b/>
      <sz val="12"/>
      <color theme="1"/>
      <name val="Calibri"/>
      <family val="2"/>
      <scheme val="minor"/>
    </font>
    <font>
      <b/>
      <sz val="16"/>
      <color theme="1"/>
      <name val="Calibri"/>
      <family val="2"/>
      <scheme val="minor"/>
    </font>
    <font>
      <sz val="11"/>
      <name val="Calibri"/>
      <family val="2"/>
      <scheme val="minor"/>
    </font>
    <font>
      <sz val="11"/>
      <color rgb="FF000000"/>
      <name val="Calibri"/>
      <family val="2"/>
    </font>
    <font>
      <sz val="12"/>
      <color theme="1"/>
      <name val="Calibri"/>
      <family val="2"/>
      <scheme val="minor"/>
    </font>
    <font>
      <sz val="9"/>
      <color indexed="81"/>
      <name val="Tahoma"/>
      <family val="2"/>
    </font>
    <font>
      <b/>
      <sz val="9"/>
      <color indexed="81"/>
      <name val="Tahoma"/>
      <family val="2"/>
    </font>
    <font>
      <sz val="26"/>
      <color theme="1"/>
      <name val="Calibri"/>
      <family val="2"/>
      <scheme val="minor"/>
    </font>
    <font>
      <b/>
      <sz val="16"/>
      <color rgb="FF0070C0"/>
      <name val="Calibri"/>
      <family val="2"/>
      <scheme val="minor"/>
    </font>
  </fonts>
  <fills count="8">
    <fill>
      <patternFill patternType="none"/>
    </fill>
    <fill>
      <patternFill patternType="gray125"/>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FFFFCC"/>
        <bgColor indexed="64"/>
      </patternFill>
    </fill>
    <fill>
      <patternFill patternType="solid">
        <fgColor rgb="FF99FFCC"/>
        <bgColor indexed="64"/>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double">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s>
  <cellStyleXfs count="1">
    <xf numFmtId="0" fontId="0" fillId="0" borderId="0"/>
  </cellStyleXfs>
  <cellXfs count="205">
    <xf numFmtId="0" fontId="0" fillId="0" borderId="0" xfId="0"/>
    <xf numFmtId="0" fontId="0" fillId="0" borderId="0" xfId="0" applyAlignment="1">
      <alignment horizontal="center" vertical="center"/>
    </xf>
    <xf numFmtId="0" fontId="0" fillId="0" borderId="0" xfId="0" applyAlignment="1">
      <alignment horizontal="left" vertical="center"/>
    </xf>
    <xf numFmtId="0" fontId="0" fillId="0" borderId="0" xfId="0" quotePrefix="1" applyAlignment="1">
      <alignment horizontal="left" vertical="center"/>
    </xf>
    <xf numFmtId="0" fontId="0" fillId="0" borderId="0" xfId="0" quotePrefix="1" applyAlignment="1">
      <alignment horizontal="center" vertical="center"/>
    </xf>
    <xf numFmtId="0" fontId="0" fillId="0" borderId="0" xfId="0" quotePrefix="1" applyAlignment="1">
      <alignment horizontal="left"/>
    </xf>
    <xf numFmtId="0" fontId="0" fillId="0" borderId="0" xfId="0" quotePrefix="1" applyAlignment="1">
      <alignment horizontal="center"/>
    </xf>
    <xf numFmtId="0" fontId="0" fillId="0" borderId="0" xfId="0" applyAlignment="1">
      <alignment horizontal="center"/>
    </xf>
    <xf numFmtId="0" fontId="1" fillId="0" borderId="0" xfId="0" applyFont="1" applyAlignment="1">
      <alignment horizontal="center"/>
    </xf>
    <xf numFmtId="0" fontId="0" fillId="0" borderId="0" xfId="0" applyBorder="1"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quotePrefix="1"/>
    <xf numFmtId="0" fontId="0" fillId="0" borderId="2" xfId="0" applyBorder="1" applyAlignment="1">
      <alignment horizontal="center"/>
    </xf>
    <xf numFmtId="0" fontId="0" fillId="0" borderId="2" xfId="0"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1" fillId="0" borderId="0" xfId="0" applyFont="1"/>
    <xf numFmtId="0" fontId="0" fillId="0" borderId="0" xfId="0" applyFont="1" applyBorder="1" applyAlignment="1">
      <alignment horizontal="center"/>
    </xf>
    <xf numFmtId="0" fontId="0" fillId="0" borderId="0" xfId="0" applyFont="1" applyAlignment="1">
      <alignment horizontal="center"/>
    </xf>
    <xf numFmtId="0" fontId="0" fillId="0" borderId="0" xfId="0" applyAlignment="1">
      <alignment horizontal="right"/>
    </xf>
    <xf numFmtId="0" fontId="3" fillId="0" borderId="0" xfId="0" applyFont="1"/>
    <xf numFmtId="0" fontId="1" fillId="0" borderId="0" xfId="0" applyFont="1" applyBorder="1" applyAlignment="1">
      <alignment horizontal="right"/>
    </xf>
    <xf numFmtId="0" fontId="1" fillId="0" borderId="0" xfId="0" applyFont="1" applyAlignment="1">
      <alignment horizontal="right"/>
    </xf>
    <xf numFmtId="0" fontId="4" fillId="0" borderId="0" xfId="0" applyFont="1" applyBorder="1" applyAlignment="1">
      <alignment horizontal="left"/>
    </xf>
    <xf numFmtId="0" fontId="5" fillId="0" borderId="0" xfId="0" applyFont="1" applyAlignment="1">
      <alignment horizontal="center"/>
    </xf>
    <xf numFmtId="0" fontId="2" fillId="0" borderId="9" xfId="0" applyFont="1" applyBorder="1" applyAlignment="1">
      <alignment horizontal="center"/>
    </xf>
    <xf numFmtId="0" fontId="2" fillId="0" borderId="0" xfId="0" applyFont="1" applyAlignment="1">
      <alignment horizontal="center"/>
    </xf>
    <xf numFmtId="0" fontId="3" fillId="0" borderId="0" xfId="0" applyFont="1" applyAlignment="1">
      <alignment horizontal="left"/>
    </xf>
    <xf numFmtId="0" fontId="1" fillId="0" borderId="0" xfId="0" applyFont="1" applyAlignment="1">
      <alignment horizontal="left"/>
    </xf>
    <xf numFmtId="0" fontId="0" fillId="0" borderId="0" xfId="0" applyFill="1" applyBorder="1" applyAlignment="1">
      <alignment horizontal="center"/>
    </xf>
    <xf numFmtId="164" fontId="0" fillId="0" borderId="0" xfId="0" applyNumberFormat="1" applyAlignment="1">
      <alignment horizontal="center"/>
    </xf>
    <xf numFmtId="0" fontId="0" fillId="0" borderId="0" xfId="0" applyBorder="1" applyAlignment="1">
      <alignment horizontal="center"/>
    </xf>
    <xf numFmtId="0" fontId="1" fillId="0" borderId="0" xfId="0" applyFont="1" applyBorder="1" applyAlignment="1">
      <alignment horizontal="center" vertical="center" textRotation="90"/>
    </xf>
    <xf numFmtId="0" fontId="1" fillId="0" borderId="0" xfId="0" applyFont="1" applyAlignment="1">
      <alignment horizontal="center" vertical="center" textRotation="90" wrapText="1"/>
    </xf>
    <xf numFmtId="0" fontId="0" fillId="0" borderId="0" xfId="0" applyFont="1" applyAlignment="1">
      <alignment horizontal="center" vertical="center" textRotation="90"/>
    </xf>
    <xf numFmtId="0" fontId="0" fillId="0" borderId="0" xfId="0" applyAlignment="1">
      <alignment horizontal="center" vertical="center" textRotation="90"/>
    </xf>
    <xf numFmtId="0" fontId="6" fillId="0" borderId="0" xfId="0" applyFont="1"/>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7" fillId="0" borderId="0" xfId="0" applyFont="1"/>
    <xf numFmtId="0" fontId="0" fillId="0" borderId="0" xfId="0" applyFont="1" applyBorder="1" applyAlignment="1">
      <alignment horizontal="right"/>
    </xf>
    <xf numFmtId="2" fontId="0" fillId="0" borderId="0" xfId="0" applyNumberFormat="1" applyAlignment="1">
      <alignment horizontal="center"/>
    </xf>
    <xf numFmtId="0" fontId="0" fillId="0" borderId="0" xfId="0" applyFont="1" applyAlignment="1">
      <alignment horizontal="center" textRotation="90"/>
    </xf>
    <xf numFmtId="0" fontId="0" fillId="0" borderId="0" xfId="0" applyAlignment="1">
      <alignment horizontal="center" wrapText="1"/>
    </xf>
    <xf numFmtId="0" fontId="1" fillId="0" borderId="10" xfId="0" applyFont="1" applyBorder="1" applyAlignment="1">
      <alignment horizontal="center"/>
    </xf>
    <xf numFmtId="2" fontId="0" fillId="0" borderId="11" xfId="0" applyNumberFormat="1" applyBorder="1" applyAlignment="1">
      <alignment horizontal="center"/>
    </xf>
    <xf numFmtId="0" fontId="1" fillId="0" borderId="10" xfId="0" applyFont="1" applyBorder="1" applyAlignment="1">
      <alignment horizontal="right"/>
    </xf>
    <xf numFmtId="0" fontId="1" fillId="0" borderId="11" xfId="0" applyFont="1" applyBorder="1" applyAlignment="1">
      <alignment horizontal="right"/>
    </xf>
    <xf numFmtId="0" fontId="1" fillId="0" borderId="11" xfId="0" applyFont="1" applyBorder="1" applyAlignment="1">
      <alignment horizontal="center"/>
    </xf>
    <xf numFmtId="0" fontId="1" fillId="0" borderId="0" xfId="0" applyFont="1" applyFill="1" applyBorder="1" applyAlignment="1">
      <alignment horizontal="center"/>
    </xf>
    <xf numFmtId="0" fontId="2" fillId="0" borderId="0" xfId="0" applyFont="1" applyBorder="1" applyAlignment="1">
      <alignment horizontal="center"/>
    </xf>
    <xf numFmtId="0" fontId="0" fillId="0" borderId="0" xfId="0"/>
    <xf numFmtId="0" fontId="0" fillId="0" borderId="0" xfId="0"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Alignment="1"/>
    <xf numFmtId="0" fontId="0" fillId="0" borderId="0" xfId="0" applyBorder="1" applyAlignment="1">
      <alignment horizontal="center"/>
    </xf>
    <xf numFmtId="0" fontId="0" fillId="0" borderId="0" xfId="0" applyBorder="1"/>
    <xf numFmtId="0" fontId="0" fillId="0" borderId="0" xfId="0" applyNumberFormat="1" applyAlignment="1">
      <alignment horizontal="center"/>
    </xf>
    <xf numFmtId="0" fontId="0" fillId="0" borderId="0" xfId="0" applyNumberFormat="1"/>
    <xf numFmtId="0" fontId="1" fillId="0" borderId="0" xfId="0" applyFont="1" applyAlignment="1">
      <alignment vertical="center" textRotation="90" wrapText="1"/>
    </xf>
    <xf numFmtId="0" fontId="1" fillId="0" borderId="0" xfId="0" applyFont="1" applyAlignment="1">
      <alignment wrapText="1"/>
    </xf>
    <xf numFmtId="0" fontId="0" fillId="0" borderId="0" xfId="0" applyBorder="1" applyAlignment="1">
      <alignment horizontal="center"/>
    </xf>
    <xf numFmtId="0" fontId="0" fillId="2" borderId="0" xfId="0" applyFill="1"/>
    <xf numFmtId="0" fontId="1" fillId="2" borderId="0" xfId="0" applyFont="1" applyFill="1" applyBorder="1" applyAlignment="1">
      <alignment horizontal="center"/>
    </xf>
    <xf numFmtId="0" fontId="0" fillId="2" borderId="0" xfId="0" applyFill="1" applyAlignment="1">
      <alignment horizontal="center"/>
    </xf>
    <xf numFmtId="2" fontId="0" fillId="2" borderId="0" xfId="0" applyNumberFormat="1" applyFill="1" applyAlignment="1">
      <alignment horizontal="center"/>
    </xf>
    <xf numFmtId="0" fontId="0" fillId="3" borderId="0" xfId="0" applyFill="1"/>
    <xf numFmtId="0" fontId="1" fillId="3" borderId="0" xfId="0" applyFont="1" applyFill="1" applyBorder="1" applyAlignment="1">
      <alignment horizontal="center"/>
    </xf>
    <xf numFmtId="0" fontId="0" fillId="3" borderId="0" xfId="0" applyFill="1" applyAlignment="1">
      <alignment horizontal="center"/>
    </xf>
    <xf numFmtId="0" fontId="0" fillId="2" borderId="0" xfId="0" applyFill="1" applyBorder="1" applyAlignment="1">
      <alignment horizontal="center"/>
    </xf>
    <xf numFmtId="0" fontId="1" fillId="2" borderId="9" xfId="0" applyFont="1" applyFill="1" applyBorder="1" applyAlignment="1">
      <alignment horizontal="center"/>
    </xf>
    <xf numFmtId="0" fontId="0" fillId="2" borderId="0" xfId="0" applyFont="1" applyFill="1" applyAlignment="1">
      <alignment horizontal="center"/>
    </xf>
    <xf numFmtId="0" fontId="6" fillId="2" borderId="9" xfId="0" applyFont="1" applyFill="1" applyBorder="1" applyAlignment="1">
      <alignment horizontal="center"/>
    </xf>
    <xf numFmtId="0" fontId="0" fillId="2" borderId="0" xfId="0" applyFont="1" applyFill="1" applyBorder="1" applyAlignment="1">
      <alignment horizontal="center"/>
    </xf>
    <xf numFmtId="2" fontId="0" fillId="2" borderId="0" xfId="0" applyNumberFormat="1" applyFill="1" applyBorder="1" applyAlignment="1">
      <alignment horizontal="center"/>
    </xf>
    <xf numFmtId="0" fontId="0" fillId="0" borderId="0" xfId="0" applyFill="1"/>
    <xf numFmtId="0" fontId="0" fillId="0" borderId="0" xfId="0" applyFill="1" applyAlignment="1">
      <alignment horizontal="center"/>
    </xf>
    <xf numFmtId="0" fontId="0" fillId="0" borderId="0" xfId="0" applyFont="1" applyFill="1" applyAlignment="1">
      <alignment horizontal="center" textRotation="90"/>
    </xf>
    <xf numFmtId="0" fontId="1" fillId="0" borderId="0" xfId="0" applyFont="1" applyFill="1" applyAlignment="1">
      <alignment horizontal="center" vertical="center" textRotation="90" wrapText="1"/>
    </xf>
    <xf numFmtId="0" fontId="0" fillId="0" borderId="0" xfId="0" applyFill="1" applyAlignment="1">
      <alignment horizontal="center" vertical="center" textRotation="90"/>
    </xf>
    <xf numFmtId="0" fontId="0" fillId="0" borderId="0" xfId="0" applyFill="1" applyAlignment="1">
      <alignment textRotation="90"/>
    </xf>
    <xf numFmtId="0" fontId="1" fillId="0" borderId="0" xfId="0" applyFont="1" applyFill="1" applyAlignment="1">
      <alignment horizontal="center"/>
    </xf>
    <xf numFmtId="0" fontId="1" fillId="0" borderId="0" xfId="0" applyFont="1" applyFill="1" applyAlignment="1">
      <alignment vertical="center" textRotation="90" wrapText="1"/>
    </xf>
    <xf numFmtId="0" fontId="0" fillId="0" borderId="0" xfId="0" applyFont="1" applyFill="1" applyAlignment="1">
      <alignment vertical="center" textRotation="90"/>
    </xf>
    <xf numFmtId="0" fontId="0" fillId="0" borderId="0" xfId="0" applyFill="1" applyAlignment="1">
      <alignment vertical="center" textRotation="90"/>
    </xf>
    <xf numFmtId="0" fontId="1" fillId="0" borderId="0" xfId="0" applyFont="1" applyFill="1" applyAlignment="1">
      <alignment horizontal="center" vertical="center" wrapText="1"/>
    </xf>
    <xf numFmtId="0" fontId="0" fillId="0" borderId="0" xfId="0" applyFill="1" applyAlignment="1">
      <alignment horizontal="center" wrapText="1"/>
    </xf>
    <xf numFmtId="0" fontId="0" fillId="0" borderId="1" xfId="0" applyFill="1" applyBorder="1" applyAlignment="1">
      <alignment horizontal="center"/>
    </xf>
    <xf numFmtId="0" fontId="0" fillId="0" borderId="4" xfId="0" applyFill="1" applyBorder="1" applyAlignment="1">
      <alignment horizontal="center"/>
    </xf>
    <xf numFmtId="0" fontId="0" fillId="0" borderId="6" xfId="0" applyFill="1" applyBorder="1" applyAlignment="1">
      <alignment horizontal="center"/>
    </xf>
    <xf numFmtId="0" fontId="0" fillId="3" borderId="0" xfId="0" applyFill="1" applyBorder="1" applyAlignment="1">
      <alignment horizontal="center"/>
    </xf>
    <xf numFmtId="0" fontId="0" fillId="0" borderId="0" xfId="0" applyFont="1" applyFill="1" applyAlignment="1">
      <alignment horizontal="center"/>
    </xf>
    <xf numFmtId="0" fontId="1" fillId="3" borderId="0" xfId="0" applyFont="1" applyFill="1"/>
    <xf numFmtId="0" fontId="1" fillId="3" borderId="0" xfId="0" applyFont="1" applyFill="1" applyAlignment="1">
      <alignment horizontal="center" wrapText="1"/>
    </xf>
    <xf numFmtId="0" fontId="1" fillId="3" borderId="9" xfId="0" applyFont="1" applyFill="1" applyBorder="1" applyAlignment="1">
      <alignment horizontal="center"/>
    </xf>
    <xf numFmtId="2" fontId="8" fillId="2" borderId="0" xfId="0" applyNumberFormat="1" applyFont="1" applyFill="1" applyBorder="1" applyAlignment="1">
      <alignment horizontal="center"/>
    </xf>
    <xf numFmtId="0" fontId="10" fillId="0" borderId="0" xfId="0" applyFont="1"/>
    <xf numFmtId="0" fontId="1" fillId="0" borderId="7" xfId="0" applyFont="1" applyBorder="1" applyAlignment="1">
      <alignment horizontal="right"/>
    </xf>
    <xf numFmtId="0" fontId="1" fillId="0" borderId="7" xfId="0" applyFont="1" applyBorder="1" applyAlignment="1">
      <alignment horizontal="center"/>
    </xf>
    <xf numFmtId="0" fontId="0" fillId="0" borderId="7" xfId="0" applyBorder="1"/>
    <xf numFmtId="0" fontId="0" fillId="0" borderId="0" xfId="0" applyAlignment="1"/>
    <xf numFmtId="0" fontId="0" fillId="0" borderId="0" xfId="0" applyAlignment="1"/>
    <xf numFmtId="0" fontId="1" fillId="4" borderId="0" xfId="0" applyFont="1" applyFill="1"/>
    <xf numFmtId="0" fontId="1" fillId="5" borderId="0" xfId="0" applyFont="1" applyFill="1"/>
    <xf numFmtId="0" fontId="6" fillId="0" borderId="0" xfId="0" applyFont="1" applyAlignment="1">
      <alignment horizontal="left"/>
    </xf>
    <xf numFmtId="0" fontId="7" fillId="0" borderId="0" xfId="0" applyFont="1" applyAlignment="1">
      <alignment horizontal="left"/>
    </xf>
    <xf numFmtId="14" fontId="1" fillId="0" borderId="0" xfId="0" applyNumberFormat="1" applyFont="1"/>
    <xf numFmtId="14" fontId="1" fillId="0" borderId="0" xfId="0" applyNumberFormat="1" applyFont="1" applyAlignment="1">
      <alignment horizontal="center"/>
    </xf>
    <xf numFmtId="0" fontId="0" fillId="0" borderId="0" xfId="0" applyFont="1"/>
    <xf numFmtId="164" fontId="0" fillId="4" borderId="0" xfId="0" applyNumberFormat="1" applyFill="1" applyBorder="1"/>
    <xf numFmtId="164" fontId="0" fillId="5" borderId="0" xfId="0" applyNumberFormat="1" applyFill="1" applyBorder="1"/>
    <xf numFmtId="0" fontId="6" fillId="4" borderId="0" xfId="0" applyFont="1" applyFill="1"/>
    <xf numFmtId="0" fontId="6" fillId="5" borderId="0" xfId="0" applyFont="1" applyFill="1"/>
    <xf numFmtId="0" fontId="13" fillId="0" borderId="0" xfId="0" applyFont="1"/>
    <xf numFmtId="14" fontId="1" fillId="0" borderId="0" xfId="0" applyNumberFormat="1" applyFont="1" applyBorder="1" applyAlignment="1">
      <alignment horizontal="center"/>
    </xf>
    <xf numFmtId="14" fontId="1" fillId="0" borderId="0" xfId="0" applyNumberFormat="1" applyFont="1" applyBorder="1"/>
    <xf numFmtId="0" fontId="1" fillId="0" borderId="2" xfId="0" applyFont="1" applyBorder="1" applyAlignment="1">
      <alignment horizontal="center"/>
    </xf>
    <xf numFmtId="0" fontId="1" fillId="0" borderId="3" xfId="0" applyFont="1" applyBorder="1" applyAlignment="1">
      <alignment horizontal="center"/>
    </xf>
    <xf numFmtId="14" fontId="1" fillId="0" borderId="5" xfId="0" applyNumberFormat="1" applyFont="1" applyBorder="1"/>
    <xf numFmtId="0" fontId="0" fillId="0" borderId="8" xfId="0" applyBorder="1"/>
    <xf numFmtId="164" fontId="0" fillId="0" borderId="5" xfId="0" applyNumberFormat="1" applyBorder="1" applyAlignment="1">
      <alignment horizontal="center"/>
    </xf>
    <xf numFmtId="164" fontId="0" fillId="0" borderId="8" xfId="0" applyNumberFormat="1" applyBorder="1" applyAlignment="1">
      <alignment horizontal="center"/>
    </xf>
    <xf numFmtId="164" fontId="0" fillId="0" borderId="0" xfId="0" applyNumberFormat="1" applyBorder="1" applyAlignment="1">
      <alignment horizontal="center"/>
    </xf>
    <xf numFmtId="164" fontId="0" fillId="0" borderId="7" xfId="0" applyNumberFormat="1" applyBorder="1" applyAlignment="1">
      <alignment horizontal="center"/>
    </xf>
    <xf numFmtId="164" fontId="0" fillId="0" borderId="5" xfId="0" applyNumberFormat="1" applyFont="1" applyBorder="1" applyAlignment="1">
      <alignment horizontal="center"/>
    </xf>
    <xf numFmtId="164" fontId="0" fillId="0" borderId="16" xfId="0" applyNumberFormat="1" applyFont="1" applyBorder="1" applyAlignment="1">
      <alignment horizontal="center"/>
    </xf>
    <xf numFmtId="164" fontId="0" fillId="0" borderId="17" xfId="0" applyNumberFormat="1" applyFont="1" applyBorder="1" applyAlignment="1">
      <alignment horizontal="center"/>
    </xf>
    <xf numFmtId="0" fontId="14" fillId="0" borderId="0" xfId="0" applyFont="1"/>
    <xf numFmtId="164" fontId="0" fillId="0" borderId="16" xfId="0" applyNumberFormat="1" applyBorder="1" applyAlignment="1">
      <alignment horizontal="center"/>
    </xf>
    <xf numFmtId="164" fontId="0" fillId="0" borderId="17" xfId="0" applyNumberFormat="1" applyBorder="1" applyAlignment="1">
      <alignment horizontal="center"/>
    </xf>
    <xf numFmtId="0" fontId="0" fillId="0" borderId="0" xfId="0" applyFont="1" applyAlignment="1">
      <alignment wrapText="1"/>
    </xf>
    <xf numFmtId="0" fontId="1" fillId="0" borderId="0" xfId="0" applyFont="1" applyAlignment="1">
      <alignment horizontal="center" wrapText="1"/>
    </xf>
    <xf numFmtId="0" fontId="0" fillId="0" borderId="0" xfId="0" applyAlignment="1">
      <alignment wrapText="1"/>
    </xf>
    <xf numFmtId="0" fontId="1" fillId="0" borderId="6" xfId="0" applyFont="1" applyBorder="1" applyAlignment="1">
      <alignment horizontal="center" wrapText="1"/>
    </xf>
    <xf numFmtId="0" fontId="1" fillId="0" borderId="8" xfId="0" applyFont="1" applyBorder="1" applyAlignment="1">
      <alignment horizontal="center" wrapText="1"/>
    </xf>
    <xf numFmtId="0" fontId="1" fillId="0" borderId="7" xfId="0" applyFont="1" applyBorder="1" applyAlignment="1">
      <alignment horizontal="center" wrapText="1"/>
    </xf>
    <xf numFmtId="0" fontId="6" fillId="0" borderId="12" xfId="0" applyFont="1" applyBorder="1" applyAlignment="1">
      <alignment horizontal="center" wrapText="1"/>
    </xf>
    <xf numFmtId="0" fontId="6" fillId="0" borderId="13" xfId="0" applyFont="1" applyBorder="1" applyAlignment="1">
      <alignment horizontal="center" wrapText="1"/>
    </xf>
    <xf numFmtId="0" fontId="1" fillId="0" borderId="14" xfId="0" applyFont="1" applyBorder="1" applyAlignment="1">
      <alignment horizontal="center" wrapText="1"/>
    </xf>
    <xf numFmtId="0" fontId="1" fillId="0" borderId="12" xfId="0" applyFont="1" applyBorder="1" applyAlignment="1">
      <alignment horizontal="center" wrapText="1"/>
    </xf>
    <xf numFmtId="0" fontId="1" fillId="0" borderId="13" xfId="0" applyFont="1" applyBorder="1" applyAlignment="1">
      <alignment horizontal="center" wrapText="1"/>
    </xf>
    <xf numFmtId="164" fontId="0" fillId="0" borderId="0" xfId="0" applyNumberFormat="1" applyFont="1" applyBorder="1" applyAlignment="1">
      <alignment horizontal="center"/>
    </xf>
    <xf numFmtId="164" fontId="1" fillId="0" borderId="0" xfId="0" applyNumberFormat="1" applyFont="1" applyBorder="1" applyAlignment="1">
      <alignment horizontal="center"/>
    </xf>
    <xf numFmtId="164" fontId="0" fillId="0" borderId="0" xfId="0" applyNumberFormat="1" applyBorder="1"/>
    <xf numFmtId="2" fontId="0" fillId="2" borderId="0" xfId="0" applyNumberFormat="1" applyFill="1"/>
    <xf numFmtId="0" fontId="1" fillId="0" borderId="0" xfId="0" applyFont="1" applyFill="1" applyBorder="1" applyAlignment="1">
      <alignment horizontal="right"/>
    </xf>
    <xf numFmtId="0" fontId="1" fillId="0" borderId="4" xfId="0" applyFont="1" applyBorder="1" applyAlignment="1">
      <alignment horizontal="center"/>
    </xf>
    <xf numFmtId="0" fontId="1" fillId="0" borderId="5"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0"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0" xfId="0" applyFill="1" applyBorder="1" applyAlignment="1">
      <alignment horizontal="center"/>
    </xf>
    <xf numFmtId="0" fontId="0" fillId="6" borderId="5" xfId="0" applyFill="1" applyBorder="1" applyAlignment="1">
      <alignment horizontal="center"/>
    </xf>
    <xf numFmtId="0" fontId="0" fillId="6" borderId="7" xfId="0" applyFill="1" applyBorder="1" applyAlignment="1">
      <alignment horizontal="center"/>
    </xf>
    <xf numFmtId="0" fontId="0" fillId="6" borderId="8" xfId="0" applyFill="1" applyBorder="1" applyAlignment="1">
      <alignment horizontal="center"/>
    </xf>
    <xf numFmtId="0" fontId="0" fillId="7" borderId="0"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5" xfId="0" applyFill="1" applyBorder="1" applyAlignment="1">
      <alignment horizontal="center"/>
    </xf>
    <xf numFmtId="0" fontId="0" fillId="7" borderId="7" xfId="0" applyFill="1" applyBorder="1" applyAlignment="1">
      <alignment horizontal="center"/>
    </xf>
    <xf numFmtId="0" fontId="0" fillId="7" borderId="8" xfId="0" applyFill="1" applyBorder="1" applyAlignment="1">
      <alignment horizontal="center"/>
    </xf>
    <xf numFmtId="0" fontId="0" fillId="0" borderId="20" xfId="0" applyFont="1" applyBorder="1" applyAlignment="1"/>
    <xf numFmtId="0" fontId="0" fillId="0" borderId="21" xfId="0" applyBorder="1" applyAlignment="1"/>
    <xf numFmtId="0" fontId="0" fillId="0" borderId="22" xfId="0" applyFont="1" applyBorder="1"/>
    <xf numFmtId="0" fontId="0" fillId="0" borderId="23" xfId="0" applyBorder="1"/>
    <xf numFmtId="0" fontId="0" fillId="0" borderId="0" xfId="0" applyBorder="1" applyAlignment="1">
      <alignment horizontal="center"/>
    </xf>
    <xf numFmtId="0" fontId="0" fillId="0" borderId="0" xfId="0" applyAlignment="1"/>
    <xf numFmtId="0" fontId="0" fillId="0" borderId="24" xfId="0" applyBorder="1" applyAlignment="1"/>
    <xf numFmtId="0" fontId="0" fillId="0" borderId="25" xfId="0" applyBorder="1" applyAlignment="1"/>
    <xf numFmtId="0" fontId="6" fillId="0" borderId="12" xfId="0" applyFont="1" applyBorder="1" applyAlignment="1">
      <alignment horizontal="center"/>
    </xf>
    <xf numFmtId="0" fontId="6" fillId="0" borderId="13" xfId="0" applyFont="1" applyBorder="1" applyAlignment="1">
      <alignment horizontal="center"/>
    </xf>
    <xf numFmtId="0" fontId="6" fillId="0" borderId="14" xfId="0" applyFont="1" applyBorder="1" applyAlignment="1">
      <alignment horizontal="center"/>
    </xf>
    <xf numFmtId="0" fontId="1" fillId="0" borderId="15" xfId="0" applyFont="1" applyBorder="1" applyAlignment="1">
      <alignment horizontal="center" wrapText="1"/>
    </xf>
    <xf numFmtId="0" fontId="1" fillId="0" borderId="16" xfId="0" applyFont="1" applyBorder="1" applyAlignment="1"/>
    <xf numFmtId="0" fontId="1" fillId="0" borderId="17" xfId="0" applyFont="1" applyBorder="1" applyAlignment="1"/>
    <xf numFmtId="0" fontId="1" fillId="0" borderId="3" xfId="0" applyFont="1" applyBorder="1" applyAlignment="1">
      <alignment horizontal="center" wrapText="1"/>
    </xf>
    <xf numFmtId="0" fontId="1" fillId="0" borderId="5" xfId="0" applyFont="1" applyBorder="1" applyAlignment="1"/>
    <xf numFmtId="0" fontId="1" fillId="0" borderId="8" xfId="0" applyFont="1" applyBorder="1" applyAlignment="1"/>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1" xfId="0" applyFont="1" applyBorder="1" applyAlignment="1">
      <alignment horizontal="center"/>
    </xf>
    <xf numFmtId="0" fontId="1" fillId="0" borderId="3" xfId="0" applyFont="1" applyBorder="1" applyAlignment="1">
      <alignment horizontal="center"/>
    </xf>
    <xf numFmtId="0" fontId="0" fillId="0" borderId="0" xfId="0" applyFont="1" applyAlignment="1">
      <alignment horizontal="center" vertical="center" textRotation="90"/>
    </xf>
    <xf numFmtId="0" fontId="0" fillId="0" borderId="0" xfId="0" applyAlignment="1">
      <alignment horizontal="center" vertical="center" textRotation="90"/>
    </xf>
    <xf numFmtId="0" fontId="1" fillId="0" borderId="0" xfId="0" applyFont="1" applyAlignment="1">
      <alignment horizontal="center" vertical="center" textRotation="90" wrapText="1"/>
    </xf>
  </cellXfs>
  <cellStyles count="1">
    <cellStyle name="Normal" xfId="0" builtinId="0"/>
  </cellStyles>
  <dxfs count="0"/>
  <tableStyles count="0" defaultTableStyle="TableStyleMedium2" defaultPivotStyle="PivotStyleMedium9"/>
  <colors>
    <mruColors>
      <color rgb="FF99FFCC"/>
      <color rgb="FFFFFF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www.crimsonandco.com/" TargetMode="External"/><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3" Type="http://schemas.openxmlformats.org/officeDocument/2006/relationships/hyperlink" Target="http://www.crimsonandco.com/" TargetMode="External"/><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95250</xdr:rowOff>
        </xdr:from>
        <xdr:to>
          <xdr:col>8</xdr:col>
          <xdr:colOff>1828800</xdr:colOff>
          <xdr:row>4</xdr:row>
          <xdr:rowOff>76200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Optimisation</a:t>
              </a:r>
            </a:p>
          </xdr:txBody>
        </xdr:sp>
        <xdr:clientData fPrintsWithSheet="0"/>
      </xdr:twoCellAnchor>
    </mc:Choice>
    <mc:Fallback/>
  </mc:AlternateContent>
  <xdr:twoCellAnchor editAs="oneCell">
    <xdr:from>
      <xdr:col>0</xdr:col>
      <xdr:colOff>213360</xdr:colOff>
      <xdr:row>0</xdr:row>
      <xdr:rowOff>99060</xdr:rowOff>
    </xdr:from>
    <xdr:to>
      <xdr:col>2</xdr:col>
      <xdr:colOff>521970</xdr:colOff>
      <xdr:row>4</xdr:row>
      <xdr:rowOff>76200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99060"/>
          <a:ext cx="1527810" cy="739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2575560</xdr:colOff>
      <xdr:row>0</xdr:row>
      <xdr:rowOff>144780</xdr:rowOff>
    </xdr:from>
    <xdr:to>
      <xdr:col>4</xdr:col>
      <xdr:colOff>26670</xdr:colOff>
      <xdr:row>4</xdr:row>
      <xdr:rowOff>45720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56710" y="144780"/>
          <a:ext cx="632460" cy="662940"/>
        </a:xfrm>
        <a:prstGeom prst="rect">
          <a:avLst/>
        </a:prstGeom>
      </xdr:spPr>
    </xdr:pic>
    <xdr:clientData/>
  </xdr:twoCellAnchor>
  <xdr:twoCellAnchor>
    <xdr:from>
      <xdr:col>2</xdr:col>
      <xdr:colOff>434339</xdr:colOff>
      <xdr:row>1</xdr:row>
      <xdr:rowOff>15240</xdr:rowOff>
    </xdr:from>
    <xdr:to>
      <xdr:col>2</xdr:col>
      <xdr:colOff>2271452</xdr:colOff>
      <xdr:row>3</xdr:row>
      <xdr:rowOff>38100</xdr:rowOff>
    </xdr:to>
    <xdr:pic>
      <xdr:nvPicPr>
        <xdr:cNvPr id="5" name="Picture 4" descr="Crimson &amp; Co">
          <a:hlinkClick xmlns:r="http://schemas.openxmlformats.org/officeDocument/2006/relationships" r:id="rId3" tgtFrame="&quot;_blank&quo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15489" y="205740"/>
          <a:ext cx="1837113" cy="403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274320</xdr:colOff>
      <xdr:row>1</xdr:row>
      <xdr:rowOff>38100</xdr:rowOff>
    </xdr:from>
    <xdr:to>
      <xdr:col>2</xdr:col>
      <xdr:colOff>137160</xdr:colOff>
      <xdr:row>3</xdr:row>
      <xdr:rowOff>53782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 y="238125"/>
          <a:ext cx="1101090" cy="6443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274320</xdr:colOff>
      <xdr:row>1</xdr:row>
      <xdr:rowOff>38100</xdr:rowOff>
    </xdr:from>
    <xdr:to>
      <xdr:col>2</xdr:col>
      <xdr:colOff>137160</xdr:colOff>
      <xdr:row>3</xdr:row>
      <xdr:rowOff>53782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 y="23622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17</xdr:col>
      <xdr:colOff>320040</xdr:colOff>
      <xdr:row>13</xdr:row>
      <xdr:rowOff>144780</xdr:rowOff>
    </xdr:from>
    <xdr:ext cx="4368632" cy="436786"/>
    <xdr:sp macro="" textlink="">
      <xdr:nvSpPr>
        <xdr:cNvPr id="3" name="TextBox 2"/>
        <xdr:cNvSpPr txBox="1"/>
      </xdr:nvSpPr>
      <xdr:spPr>
        <a:xfrm>
          <a:off x="12321540" y="2796540"/>
          <a:ext cx="4368632" cy="436786"/>
        </a:xfrm>
        <a:prstGeom prst="rect">
          <a:avLst/>
        </a:prstGeom>
        <a:solidFill>
          <a:srgbClr val="FF99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Note that I have</a:t>
          </a:r>
          <a:r>
            <a:rPr lang="en-GB" sz="1100" baseline="0"/>
            <a:t> decided we don't need the min/max rows in this sheet.</a:t>
          </a:r>
        </a:p>
        <a:p>
          <a:r>
            <a:rPr lang="en-GB" sz="1100" baseline="0"/>
            <a:t>We are just reporting the amounts (in kte) obtained by the optimisation.</a:t>
          </a:r>
          <a:endParaRPr lang="en-GB"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175260</xdr:colOff>
      <xdr:row>8</xdr:row>
      <xdr:rowOff>106680</xdr:rowOff>
    </xdr:from>
    <xdr:ext cx="3526671" cy="436786"/>
    <xdr:sp macro="" textlink="">
      <xdr:nvSpPr>
        <xdr:cNvPr id="8" name="TextBox 7"/>
        <xdr:cNvSpPr txBox="1"/>
      </xdr:nvSpPr>
      <xdr:spPr>
        <a:xfrm>
          <a:off x="6370320" y="1973580"/>
          <a:ext cx="3526671" cy="436786"/>
        </a:xfrm>
        <a:prstGeom prst="rect">
          <a:avLst/>
        </a:prstGeom>
        <a:solidFill>
          <a:srgbClr val="FF99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Same comments/changes as on "ProductionPlan - Olefins"</a:t>
          </a:r>
        </a:p>
        <a:p>
          <a:r>
            <a:rPr lang="en-GB" sz="1100"/>
            <a:t>...plus a couple more</a:t>
          </a:r>
        </a:p>
      </xdr:txBody>
    </xdr:sp>
    <xdr:clientData/>
  </xdr:oneCellAnchor>
  <xdr:twoCellAnchor editAs="oneCell">
    <xdr:from>
      <xdr:col>1</xdr:col>
      <xdr:colOff>45720</xdr:colOff>
      <xdr:row>1</xdr:row>
      <xdr:rowOff>114300</xdr:rowOff>
    </xdr:from>
    <xdr:to>
      <xdr:col>2</xdr:col>
      <xdr:colOff>746760</xdr:colOff>
      <xdr:row>3</xdr:row>
      <xdr:rowOff>129982</xdr:rowOff>
    </xdr:to>
    <xdr:pic>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31242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213360</xdr:colOff>
      <xdr:row>0</xdr:row>
      <xdr:rowOff>99060</xdr:rowOff>
    </xdr:from>
    <xdr:to>
      <xdr:col>2</xdr:col>
      <xdr:colOff>160020</xdr:colOff>
      <xdr:row>4</xdr:row>
      <xdr:rowOff>76200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99060"/>
          <a:ext cx="1577340" cy="708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2575560</xdr:colOff>
      <xdr:row>0</xdr:row>
      <xdr:rowOff>144780</xdr:rowOff>
    </xdr:from>
    <xdr:to>
      <xdr:col>2</xdr:col>
      <xdr:colOff>3208020</xdr:colOff>
      <xdr:row>4</xdr:row>
      <xdr:rowOff>45720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06240" y="144780"/>
          <a:ext cx="632460" cy="632460"/>
        </a:xfrm>
        <a:prstGeom prst="rect">
          <a:avLst/>
        </a:prstGeom>
      </xdr:spPr>
    </xdr:pic>
    <xdr:clientData/>
  </xdr:twoCellAnchor>
  <xdr:twoCellAnchor>
    <xdr:from>
      <xdr:col>2</xdr:col>
      <xdr:colOff>434339</xdr:colOff>
      <xdr:row>1</xdr:row>
      <xdr:rowOff>15240</xdr:rowOff>
    </xdr:from>
    <xdr:to>
      <xdr:col>2</xdr:col>
      <xdr:colOff>2271452</xdr:colOff>
      <xdr:row>3</xdr:row>
      <xdr:rowOff>38100</xdr:rowOff>
    </xdr:to>
    <xdr:pic>
      <xdr:nvPicPr>
        <xdr:cNvPr id="5" name="Picture 4" descr="Crimson &amp; Co">
          <a:hlinkClick xmlns:r="http://schemas.openxmlformats.org/officeDocument/2006/relationships" r:id="rId3" tgtFrame="&quot;_blank&quo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65019" y="198120"/>
          <a:ext cx="1837113"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1"/>
  <sheetViews>
    <sheetView workbookViewId="0">
      <selection activeCell="A3" sqref="A3:XFD29"/>
    </sheetView>
  </sheetViews>
  <sheetFormatPr defaultRowHeight="15" x14ac:dyDescent="0.25"/>
  <cols>
    <col min="1" max="1" width="20.42578125" customWidth="1"/>
    <col min="2" max="2" width="13.140625" bestFit="1" customWidth="1"/>
    <col min="3" max="3" width="17.85546875" bestFit="1" customWidth="1"/>
  </cols>
  <sheetData>
    <row r="1" spans="1:6" x14ac:dyDescent="0.25">
      <c r="A1" s="1"/>
      <c r="B1" s="1"/>
      <c r="C1" s="1"/>
      <c r="D1" s="1" t="s">
        <v>0</v>
      </c>
      <c r="E1" s="1" t="s">
        <v>1</v>
      </c>
      <c r="F1" s="1" t="s">
        <v>2</v>
      </c>
    </row>
    <row r="2" spans="1:6" x14ac:dyDescent="0.25">
      <c r="A2" s="1" t="s">
        <v>3</v>
      </c>
      <c r="B2" s="1" t="s">
        <v>4</v>
      </c>
      <c r="C2" s="2" t="s">
        <v>13</v>
      </c>
      <c r="D2" s="1"/>
      <c r="E2" s="1"/>
      <c r="F2" s="1">
        <v>1</v>
      </c>
    </row>
    <row r="3" spans="1:6" x14ac:dyDescent="0.25">
      <c r="A3" s="1" t="s">
        <v>3</v>
      </c>
      <c r="B3" s="1" t="s">
        <v>5</v>
      </c>
      <c r="C3" s="3" t="s">
        <v>14</v>
      </c>
      <c r="D3" s="4"/>
      <c r="E3" s="1"/>
      <c r="F3" s="1">
        <v>1</v>
      </c>
    </row>
    <row r="4" spans="1:6" x14ac:dyDescent="0.25">
      <c r="A4" s="1" t="s">
        <v>3</v>
      </c>
      <c r="B4" s="1" t="s">
        <v>7</v>
      </c>
      <c r="C4" s="3" t="s">
        <v>15</v>
      </c>
      <c r="D4" s="4"/>
      <c r="E4" s="1"/>
      <c r="F4" s="1">
        <v>1</v>
      </c>
    </row>
    <row r="5" spans="1:6" x14ac:dyDescent="0.25">
      <c r="A5" s="1" t="s">
        <v>3</v>
      </c>
      <c r="B5" s="1" t="s">
        <v>6</v>
      </c>
      <c r="C5" s="5" t="s">
        <v>66</v>
      </c>
      <c r="D5" s="6"/>
      <c r="E5" s="1"/>
      <c r="F5" s="1">
        <v>1</v>
      </c>
    </row>
    <row r="6" spans="1:6" x14ac:dyDescent="0.25">
      <c r="A6" s="1" t="s">
        <v>3</v>
      </c>
      <c r="B6" s="1" t="s">
        <v>12</v>
      </c>
      <c r="C6" s="5" t="s">
        <v>16</v>
      </c>
      <c r="D6" s="6"/>
      <c r="E6" s="1"/>
      <c r="F6" s="1">
        <v>1</v>
      </c>
    </row>
    <row r="7" spans="1:6" x14ac:dyDescent="0.25">
      <c r="A7" s="1" t="s">
        <v>3</v>
      </c>
      <c r="B7" s="1" t="s">
        <v>8</v>
      </c>
      <c r="C7" s="5" t="s">
        <v>64</v>
      </c>
      <c r="D7" s="6"/>
      <c r="E7" s="1"/>
      <c r="F7" s="1">
        <v>1</v>
      </c>
    </row>
    <row r="8" spans="1:6" x14ac:dyDescent="0.25">
      <c r="A8" s="1" t="s">
        <v>3</v>
      </c>
      <c r="B8" s="1" t="s">
        <v>17</v>
      </c>
      <c r="C8" t="s">
        <v>56</v>
      </c>
      <c r="F8" s="1">
        <v>1</v>
      </c>
    </row>
    <row r="9" spans="1:6" x14ac:dyDescent="0.25">
      <c r="A9" s="1" t="s">
        <v>3</v>
      </c>
      <c r="B9" s="1" t="s">
        <v>18</v>
      </c>
      <c r="C9" s="5" t="s">
        <v>19</v>
      </c>
      <c r="D9" s="6">
        <v>2</v>
      </c>
      <c r="E9" s="1">
        <v>1</v>
      </c>
      <c r="F9" s="1">
        <v>1</v>
      </c>
    </row>
    <row r="10" spans="1:6" x14ac:dyDescent="0.25">
      <c r="A10" s="1" t="s">
        <v>3</v>
      </c>
      <c r="B10" s="1" t="s">
        <v>20</v>
      </c>
      <c r="C10" t="s">
        <v>21</v>
      </c>
      <c r="D10" s="6">
        <v>2</v>
      </c>
      <c r="E10" s="1">
        <v>1</v>
      </c>
      <c r="F10" s="1">
        <v>1</v>
      </c>
    </row>
    <row r="11" spans="1:6" x14ac:dyDescent="0.25">
      <c r="A11" s="1" t="s">
        <v>3</v>
      </c>
      <c r="B11" s="1" t="s">
        <v>22</v>
      </c>
      <c r="C11" t="s">
        <v>23</v>
      </c>
      <c r="D11" s="6">
        <v>2</v>
      </c>
      <c r="E11" s="1">
        <v>1</v>
      </c>
      <c r="F11" s="1">
        <v>1</v>
      </c>
    </row>
    <row r="12" spans="1:6" x14ac:dyDescent="0.25">
      <c r="A12" s="1" t="s">
        <v>3</v>
      </c>
      <c r="B12" s="1" t="s">
        <v>24</v>
      </c>
      <c r="C12" t="s">
        <v>65</v>
      </c>
      <c r="D12" s="6">
        <v>2</v>
      </c>
      <c r="E12" s="1">
        <v>1</v>
      </c>
      <c r="F12" s="1">
        <v>1</v>
      </c>
    </row>
    <row r="13" spans="1:6" x14ac:dyDescent="0.25">
      <c r="A13" s="1" t="s">
        <v>3</v>
      </c>
      <c r="B13" s="1" t="s">
        <v>25</v>
      </c>
      <c r="C13" t="s">
        <v>57</v>
      </c>
      <c r="D13" s="6">
        <v>2</v>
      </c>
      <c r="E13" s="1">
        <v>1</v>
      </c>
      <c r="F13" s="1">
        <v>1</v>
      </c>
    </row>
    <row r="14" spans="1:6" x14ac:dyDescent="0.25">
      <c r="A14" s="1" t="s">
        <v>3</v>
      </c>
      <c r="B14" s="1" t="s">
        <v>26</v>
      </c>
      <c r="C14" t="s">
        <v>36</v>
      </c>
      <c r="F14" s="1">
        <v>1</v>
      </c>
    </row>
    <row r="15" spans="1:6" x14ac:dyDescent="0.25">
      <c r="A15" s="1" t="s">
        <v>3</v>
      </c>
      <c r="B15" s="1" t="s">
        <v>27</v>
      </c>
      <c r="C15" t="s">
        <v>37</v>
      </c>
      <c r="F15" s="1">
        <v>1</v>
      </c>
    </row>
    <row r="16" spans="1:6" x14ac:dyDescent="0.25">
      <c r="A16" s="1" t="s">
        <v>3</v>
      </c>
      <c r="B16" s="1" t="s">
        <v>28</v>
      </c>
      <c r="C16" t="s">
        <v>30</v>
      </c>
      <c r="F16" s="1">
        <v>1</v>
      </c>
    </row>
    <row r="17" spans="1:6" x14ac:dyDescent="0.25">
      <c r="A17" s="1" t="s">
        <v>3</v>
      </c>
      <c r="B17" s="1" t="s">
        <v>29</v>
      </c>
      <c r="C17" t="s">
        <v>31</v>
      </c>
      <c r="F17" s="1">
        <v>1</v>
      </c>
    </row>
    <row r="18" spans="1:6" x14ac:dyDescent="0.25">
      <c r="A18" s="1" t="s">
        <v>3</v>
      </c>
      <c r="B18" s="1" t="s">
        <v>32</v>
      </c>
      <c r="C18" t="s">
        <v>38</v>
      </c>
      <c r="F18" s="1">
        <v>1</v>
      </c>
    </row>
    <row r="19" spans="1:6" x14ac:dyDescent="0.25">
      <c r="A19" s="1" t="s">
        <v>3</v>
      </c>
      <c r="B19" s="1" t="s">
        <v>33</v>
      </c>
      <c r="C19" t="s">
        <v>39</v>
      </c>
      <c r="F19" s="1">
        <v>1</v>
      </c>
    </row>
    <row r="20" spans="1:6" x14ac:dyDescent="0.25">
      <c r="A20" s="1" t="s">
        <v>9</v>
      </c>
      <c r="B20" s="1" t="s">
        <v>34</v>
      </c>
      <c r="C20" s="18" t="s">
        <v>35</v>
      </c>
      <c r="F20" s="1">
        <v>1</v>
      </c>
    </row>
    <row r="21" spans="1:6" x14ac:dyDescent="0.25">
      <c r="A21" s="1" t="s">
        <v>9</v>
      </c>
      <c r="B21" s="1" t="s">
        <v>40</v>
      </c>
      <c r="C21" t="s">
        <v>41</v>
      </c>
      <c r="F21" s="1">
        <v>1</v>
      </c>
    </row>
    <row r="22" spans="1:6" x14ac:dyDescent="0.25">
      <c r="A22" s="1" t="s">
        <v>9</v>
      </c>
      <c r="B22" s="1" t="s">
        <v>59</v>
      </c>
      <c r="C22" t="s">
        <v>58</v>
      </c>
      <c r="F22" s="1">
        <v>1</v>
      </c>
    </row>
    <row r="23" spans="1:6" x14ac:dyDescent="0.25">
      <c r="A23" s="1" t="s">
        <v>9</v>
      </c>
      <c r="B23" s="1" t="s">
        <v>42</v>
      </c>
      <c r="C23" t="s">
        <v>43</v>
      </c>
      <c r="F23" s="1">
        <v>1</v>
      </c>
    </row>
    <row r="24" spans="1:6" x14ac:dyDescent="0.25">
      <c r="A24" s="1" t="s">
        <v>9</v>
      </c>
      <c r="B24" s="1" t="s">
        <v>44</v>
      </c>
      <c r="C24" t="s">
        <v>45</v>
      </c>
      <c r="F24" s="1">
        <v>1</v>
      </c>
    </row>
    <row r="25" spans="1:6" x14ac:dyDescent="0.25">
      <c r="A25" s="1" t="s">
        <v>9</v>
      </c>
      <c r="B25" s="1" t="s">
        <v>46</v>
      </c>
      <c r="C25" t="s">
        <v>47</v>
      </c>
      <c r="F25" s="1">
        <v>1</v>
      </c>
    </row>
    <row r="26" spans="1:6" x14ac:dyDescent="0.25">
      <c r="A26" s="1" t="s">
        <v>9</v>
      </c>
      <c r="B26" s="1" t="s">
        <v>48</v>
      </c>
      <c r="C26" t="s">
        <v>49</v>
      </c>
      <c r="F26" s="1">
        <v>1</v>
      </c>
    </row>
    <row r="27" spans="1:6" x14ac:dyDescent="0.25">
      <c r="A27" s="1" t="s">
        <v>9</v>
      </c>
      <c r="B27" s="1" t="s">
        <v>60</v>
      </c>
      <c r="C27" t="s">
        <v>50</v>
      </c>
      <c r="F27" s="1">
        <v>1</v>
      </c>
    </row>
    <row r="28" spans="1:6" x14ac:dyDescent="0.25">
      <c r="A28" s="1" t="s">
        <v>9</v>
      </c>
      <c r="B28" s="1" t="s">
        <v>61</v>
      </c>
      <c r="C28" t="s">
        <v>51</v>
      </c>
      <c r="F28" s="1">
        <v>1</v>
      </c>
    </row>
    <row r="29" spans="1:6" x14ac:dyDescent="0.25">
      <c r="A29" s="1" t="s">
        <v>9</v>
      </c>
      <c r="B29" s="1" t="s">
        <v>62</v>
      </c>
      <c r="C29" t="s">
        <v>52</v>
      </c>
      <c r="F29" s="1">
        <v>1</v>
      </c>
    </row>
    <row r="30" spans="1:6" x14ac:dyDescent="0.25">
      <c r="A30" s="1" t="s">
        <v>9</v>
      </c>
      <c r="B30" t="s">
        <v>63</v>
      </c>
      <c r="C30" t="s">
        <v>53</v>
      </c>
      <c r="F30" s="1">
        <v>1</v>
      </c>
    </row>
    <row r="31" spans="1:6" x14ac:dyDescent="0.25">
      <c r="A31" s="1" t="s">
        <v>9</v>
      </c>
      <c r="B31" s="1" t="s">
        <v>54</v>
      </c>
      <c r="C31" s="5" t="s">
        <v>55</v>
      </c>
      <c r="D31" s="6">
        <v>2</v>
      </c>
      <c r="E31" s="1">
        <v>1</v>
      </c>
      <c r="F31" s="1">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117"/>
  <sheetViews>
    <sheetView workbookViewId="0">
      <selection activeCell="A3" sqref="A3:XFD29"/>
    </sheetView>
  </sheetViews>
  <sheetFormatPr defaultColWidth="9.140625" defaultRowHeight="15" x14ac:dyDescent="0.25"/>
  <cols>
    <col min="1" max="1" width="13.7109375" style="7" bestFit="1" customWidth="1"/>
    <col min="2" max="2" width="21" style="7" bestFit="1" customWidth="1"/>
    <col min="3" max="3" width="9.140625" style="7"/>
    <col min="4" max="4" width="9.85546875" style="7" bestFit="1" customWidth="1"/>
    <col min="5" max="5" width="9.140625" style="7"/>
    <col min="6" max="6" width="19.7109375" style="7" bestFit="1" customWidth="1"/>
    <col min="7" max="7" width="17.85546875" style="7" bestFit="1" customWidth="1"/>
    <col min="8" max="8" width="16.42578125" style="7" bestFit="1" customWidth="1"/>
    <col min="9" max="9" width="9.5703125" style="7" bestFit="1" customWidth="1"/>
    <col min="10" max="10" width="14.140625" style="7" bestFit="1" customWidth="1"/>
    <col min="11" max="11" width="14.5703125" style="7" bestFit="1" customWidth="1"/>
    <col min="12" max="12" width="15.42578125" style="7" bestFit="1" customWidth="1"/>
    <col min="13" max="13" width="9.140625" style="7"/>
    <col min="14" max="14" width="16.28515625" style="7" bestFit="1" customWidth="1"/>
    <col min="15" max="15" width="22.28515625" style="7" bestFit="1" customWidth="1"/>
    <col min="16" max="16384" width="9.140625" style="7"/>
  </cols>
  <sheetData>
    <row r="1" spans="1:17" x14ac:dyDescent="0.25">
      <c r="A1" s="8" t="s">
        <v>10</v>
      </c>
      <c r="B1" s="8" t="s">
        <v>11</v>
      </c>
    </row>
    <row r="2" spans="1:17" x14ac:dyDescent="0.25">
      <c r="A2" s="8" t="s">
        <v>4</v>
      </c>
      <c r="B2" s="7" t="s">
        <v>148</v>
      </c>
      <c r="C2" s="23" t="s">
        <v>109</v>
      </c>
      <c r="D2" s="23" t="s">
        <v>110</v>
      </c>
      <c r="E2" s="23" t="s">
        <v>111</v>
      </c>
      <c r="F2" s="23" t="s">
        <v>108</v>
      </c>
      <c r="G2" s="23" t="s">
        <v>112</v>
      </c>
      <c r="H2" s="23" t="s">
        <v>113</v>
      </c>
    </row>
    <row r="3" spans="1:17" x14ac:dyDescent="0.25">
      <c r="A3" s="8"/>
    </row>
    <row r="4" spans="1:17" x14ac:dyDescent="0.25">
      <c r="A4" s="8"/>
    </row>
    <row r="5" spans="1:17" x14ac:dyDescent="0.25">
      <c r="A5" s="8" t="s">
        <v>12</v>
      </c>
      <c r="B5" s="7" t="s">
        <v>67</v>
      </c>
      <c r="C5" s="7" t="s">
        <v>68</v>
      </c>
      <c r="D5" s="7" t="s">
        <v>69</v>
      </c>
      <c r="E5" s="7" t="s">
        <v>70</v>
      </c>
      <c r="F5" s="7" t="s">
        <v>71</v>
      </c>
      <c r="G5" s="7" t="s">
        <v>139</v>
      </c>
      <c r="H5" s="23" t="s">
        <v>128</v>
      </c>
      <c r="I5" s="23" t="s">
        <v>129</v>
      </c>
      <c r="J5" s="23" t="s">
        <v>130</v>
      </c>
      <c r="K5" s="23" t="s">
        <v>131</v>
      </c>
      <c r="L5" s="23" t="s">
        <v>132</v>
      </c>
      <c r="M5" s="23" t="s">
        <v>133</v>
      </c>
      <c r="N5" s="23" t="s">
        <v>134</v>
      </c>
      <c r="O5" s="23" t="s">
        <v>135</v>
      </c>
      <c r="P5" s="23" t="s">
        <v>136</v>
      </c>
      <c r="Q5" s="23" t="s">
        <v>137</v>
      </c>
    </row>
    <row r="6" spans="1:17" x14ac:dyDescent="0.25">
      <c r="A6" s="8"/>
    </row>
    <row r="7" spans="1:17" x14ac:dyDescent="0.25">
      <c r="A7" s="8"/>
    </row>
    <row r="8" spans="1:17" x14ac:dyDescent="0.25">
      <c r="A8" s="8" t="s">
        <v>5</v>
      </c>
      <c r="B8" s="7" t="s">
        <v>149</v>
      </c>
      <c r="C8" s="23" t="s">
        <v>117</v>
      </c>
      <c r="D8" s="23" t="s">
        <v>118</v>
      </c>
      <c r="E8" s="23" t="s">
        <v>119</v>
      </c>
      <c r="F8" s="23" t="s">
        <v>120</v>
      </c>
      <c r="G8" s="23" t="s">
        <v>121</v>
      </c>
      <c r="H8" s="23" t="s">
        <v>122</v>
      </c>
      <c r="I8" s="23" t="s">
        <v>123</v>
      </c>
      <c r="J8" s="23" t="s">
        <v>124</v>
      </c>
      <c r="K8" s="23" t="s">
        <v>125</v>
      </c>
      <c r="L8" s="23" t="s">
        <v>126</v>
      </c>
      <c r="M8" s="23" t="s">
        <v>127</v>
      </c>
    </row>
    <row r="9" spans="1:17" x14ac:dyDescent="0.25">
      <c r="A9" s="8"/>
    </row>
    <row r="10" spans="1:17" x14ac:dyDescent="0.25">
      <c r="A10" s="8"/>
    </row>
    <row r="11" spans="1:17" x14ac:dyDescent="0.25">
      <c r="A11" s="8" t="s">
        <v>8</v>
      </c>
      <c r="B11" s="7" t="s">
        <v>74</v>
      </c>
      <c r="C11" s="7">
        <v>1</v>
      </c>
      <c r="D11" s="7">
        <v>2</v>
      </c>
      <c r="E11" s="7">
        <v>3</v>
      </c>
      <c r="F11" s="7">
        <v>4</v>
      </c>
      <c r="G11" s="7">
        <v>5</v>
      </c>
      <c r="H11" s="7">
        <v>6</v>
      </c>
    </row>
    <row r="12" spans="1:17" x14ac:dyDescent="0.25">
      <c r="A12" s="8"/>
    </row>
    <row r="13" spans="1:17" x14ac:dyDescent="0.25">
      <c r="A13" s="8"/>
    </row>
    <row r="14" spans="1:17" x14ac:dyDescent="0.25">
      <c r="A14" s="8" t="s">
        <v>75</v>
      </c>
      <c r="B14" s="7" t="s">
        <v>76</v>
      </c>
      <c r="C14" s="7" t="s">
        <v>145</v>
      </c>
      <c r="D14" s="7" t="s">
        <v>147</v>
      </c>
      <c r="E14" s="7" t="s">
        <v>146</v>
      </c>
    </row>
    <row r="15" spans="1:17" x14ac:dyDescent="0.25">
      <c r="A15" s="8"/>
    </row>
    <row r="16" spans="1:17" x14ac:dyDescent="0.25">
      <c r="A16" s="8"/>
    </row>
    <row r="17" spans="1:25" x14ac:dyDescent="0.25">
      <c r="A17" s="8" t="s">
        <v>77</v>
      </c>
      <c r="B17" s="7" t="s">
        <v>78</v>
      </c>
      <c r="C17" s="7" t="s">
        <v>79</v>
      </c>
      <c r="D17" s="7" t="s">
        <v>140</v>
      </c>
      <c r="E17" s="7" t="s">
        <v>141</v>
      </c>
    </row>
    <row r="18" spans="1:25" x14ac:dyDescent="0.25">
      <c r="A18" s="8"/>
    </row>
    <row r="19" spans="1:25" x14ac:dyDescent="0.25">
      <c r="A19" s="8"/>
    </row>
    <row r="20" spans="1:25" x14ac:dyDescent="0.25">
      <c r="A20" s="8" t="s">
        <v>80</v>
      </c>
      <c r="B20" s="7" t="s">
        <v>81</v>
      </c>
      <c r="C20" s="23" t="s">
        <v>128</v>
      </c>
      <c r="D20" s="23" t="s">
        <v>129</v>
      </c>
      <c r="E20" s="23" t="s">
        <v>130</v>
      </c>
      <c r="F20" s="23" t="s">
        <v>131</v>
      </c>
      <c r="G20" s="23" t="s">
        <v>132</v>
      </c>
      <c r="H20" s="23" t="s">
        <v>133</v>
      </c>
      <c r="I20" s="23" t="s">
        <v>134</v>
      </c>
      <c r="J20" s="23" t="s">
        <v>135</v>
      </c>
      <c r="K20" s="23" t="s">
        <v>136</v>
      </c>
      <c r="L20" s="23" t="s">
        <v>137</v>
      </c>
    </row>
    <row r="21" spans="1:25" x14ac:dyDescent="0.25">
      <c r="A21" s="8"/>
      <c r="B21" s="9"/>
      <c r="C21" s="9"/>
      <c r="D21" s="9"/>
      <c r="E21" s="9"/>
      <c r="F21" s="9"/>
      <c r="G21" s="9"/>
      <c r="H21" s="9"/>
      <c r="I21" s="9"/>
      <c r="J21" s="9"/>
      <c r="K21" s="9"/>
      <c r="L21" s="9"/>
      <c r="M21" s="9"/>
      <c r="N21" s="9"/>
      <c r="O21" s="9"/>
      <c r="P21" s="9"/>
      <c r="Q21" s="9"/>
      <c r="R21" s="9"/>
      <c r="S21" s="9"/>
      <c r="T21" s="9"/>
      <c r="U21" s="9"/>
      <c r="V21" s="9"/>
      <c r="W21" s="9"/>
      <c r="X21" s="9"/>
      <c r="Y21" s="9"/>
    </row>
    <row r="23" spans="1:25" x14ac:dyDescent="0.25">
      <c r="A23" s="8" t="s">
        <v>82</v>
      </c>
      <c r="B23" s="7" t="s">
        <v>83</v>
      </c>
      <c r="C23" s="7" t="s">
        <v>70</v>
      </c>
      <c r="D23" s="7" t="s">
        <v>71</v>
      </c>
      <c r="E23" s="7" t="s">
        <v>139</v>
      </c>
    </row>
    <row r="27" spans="1:25" ht="15.75" thickBot="1" x14ac:dyDescent="0.3"/>
    <row r="28" spans="1:25" x14ac:dyDescent="0.25">
      <c r="A28" s="10"/>
      <c r="B28" s="11"/>
      <c r="C28" s="11"/>
      <c r="D28" s="11"/>
      <c r="E28" s="11"/>
      <c r="F28" s="11"/>
      <c r="G28" s="11"/>
      <c r="H28" s="11"/>
      <c r="I28" s="11"/>
      <c r="J28" s="11"/>
      <c r="K28" s="11"/>
      <c r="L28" s="11"/>
      <c r="M28" s="11"/>
      <c r="N28" s="11"/>
      <c r="O28" s="12"/>
    </row>
    <row r="29" spans="1:25" x14ac:dyDescent="0.25">
      <c r="A29" s="13"/>
      <c r="B29" s="9"/>
      <c r="C29" s="9"/>
      <c r="D29" s="9"/>
      <c r="E29" s="9"/>
      <c r="F29" s="9"/>
      <c r="G29" s="9"/>
      <c r="H29" s="9"/>
      <c r="I29" s="9"/>
      <c r="J29" s="9"/>
      <c r="K29" s="9"/>
      <c r="L29" s="9"/>
      <c r="M29" s="9"/>
      <c r="N29" s="9"/>
      <c r="O29" s="14"/>
    </row>
    <row r="30" spans="1:25" x14ac:dyDescent="0.25">
      <c r="A30" s="13"/>
      <c r="B30" s="9"/>
      <c r="C30" s="9"/>
      <c r="D30" s="9"/>
      <c r="E30" s="9"/>
      <c r="F30" s="9"/>
      <c r="G30" s="9"/>
      <c r="H30" s="9"/>
      <c r="I30" s="9"/>
      <c r="J30" s="9"/>
      <c r="K30" s="9"/>
      <c r="L30" s="9"/>
      <c r="M30" s="9"/>
      <c r="N30" s="9"/>
      <c r="O30" s="14"/>
    </row>
    <row r="31" spans="1:25" x14ac:dyDescent="0.25">
      <c r="A31" s="13"/>
      <c r="B31" s="9"/>
      <c r="C31" s="9"/>
      <c r="D31" s="9"/>
      <c r="E31" s="9"/>
      <c r="F31" s="9"/>
      <c r="G31" s="9"/>
      <c r="H31" s="9"/>
      <c r="I31" s="9"/>
      <c r="J31" s="9"/>
      <c r="K31" s="9"/>
      <c r="L31" s="9"/>
      <c r="M31" s="9"/>
      <c r="N31" s="9"/>
      <c r="O31" s="14"/>
    </row>
    <row r="32" spans="1:25" x14ac:dyDescent="0.25">
      <c r="A32" s="13"/>
      <c r="B32" s="9"/>
      <c r="C32" s="9"/>
      <c r="D32" s="9"/>
      <c r="E32" s="9"/>
      <c r="F32" s="9"/>
      <c r="G32" s="9"/>
      <c r="H32" s="9"/>
      <c r="I32" s="9"/>
      <c r="J32" s="9"/>
      <c r="K32" s="9"/>
      <c r="L32" s="9"/>
      <c r="M32" s="9"/>
      <c r="N32" s="9"/>
      <c r="O32" s="14"/>
    </row>
    <row r="33" spans="1:15" x14ac:dyDescent="0.25">
      <c r="A33" s="13"/>
      <c r="B33" s="9"/>
      <c r="C33" s="9"/>
      <c r="D33" s="9"/>
      <c r="E33" s="9"/>
      <c r="F33" s="9"/>
      <c r="G33" s="9"/>
      <c r="H33" s="9"/>
      <c r="I33" s="9"/>
      <c r="J33" s="9"/>
      <c r="K33" s="9"/>
      <c r="L33" s="9"/>
      <c r="M33" s="9"/>
      <c r="N33" s="9"/>
      <c r="O33" s="14"/>
    </row>
    <row r="34" spans="1:15" ht="15.75" thickBot="1" x14ac:dyDescent="0.3">
      <c r="A34" s="15"/>
      <c r="B34" s="16"/>
      <c r="C34" s="16"/>
      <c r="D34" s="16"/>
      <c r="E34" s="16"/>
      <c r="F34" s="16"/>
      <c r="G34" s="16"/>
      <c r="H34" s="16"/>
      <c r="I34" s="16"/>
      <c r="J34" s="16"/>
      <c r="K34" s="16"/>
      <c r="L34" s="16"/>
      <c r="M34" s="16"/>
      <c r="N34" s="16"/>
      <c r="O34" s="17"/>
    </row>
    <row r="35" spans="1:15" ht="15.75" thickBot="1" x14ac:dyDescent="0.3"/>
    <row r="36" spans="1:15" x14ac:dyDescent="0.25">
      <c r="A36" s="10"/>
      <c r="B36" s="11"/>
      <c r="C36" s="11"/>
      <c r="D36" s="11"/>
      <c r="E36" s="11"/>
      <c r="F36" s="11"/>
      <c r="G36" s="11"/>
      <c r="H36" s="11"/>
      <c r="I36" s="11"/>
      <c r="J36" s="11"/>
      <c r="K36" s="11"/>
      <c r="L36" s="11"/>
      <c r="M36" s="11"/>
      <c r="N36" s="11"/>
      <c r="O36" s="12"/>
    </row>
    <row r="37" spans="1:15" x14ac:dyDescent="0.25">
      <c r="A37" s="13"/>
      <c r="B37" s="9"/>
      <c r="C37" s="9"/>
      <c r="D37" s="9"/>
      <c r="E37" s="9"/>
      <c r="F37" s="9"/>
      <c r="G37" s="9"/>
      <c r="H37" s="9"/>
      <c r="I37" s="9"/>
      <c r="J37" s="9"/>
      <c r="K37" s="9"/>
      <c r="L37" s="9"/>
      <c r="M37" s="9"/>
      <c r="N37" s="9"/>
      <c r="O37" s="14"/>
    </row>
    <row r="38" spans="1:15" x14ac:dyDescent="0.25">
      <c r="A38" s="13"/>
      <c r="B38" s="9"/>
      <c r="C38" s="9"/>
      <c r="D38" s="9"/>
      <c r="E38" s="9"/>
      <c r="F38" s="9"/>
      <c r="G38" s="9"/>
      <c r="H38" s="9"/>
      <c r="I38" s="9"/>
      <c r="J38" s="9"/>
      <c r="K38" s="9"/>
      <c r="L38" s="9"/>
      <c r="M38" s="9"/>
      <c r="N38" s="9"/>
      <c r="O38" s="14"/>
    </row>
    <row r="39" spans="1:15" x14ac:dyDescent="0.25">
      <c r="A39" s="13"/>
      <c r="B39" s="9"/>
      <c r="C39" s="9"/>
      <c r="D39" s="9"/>
      <c r="E39" s="9"/>
      <c r="F39" s="9"/>
      <c r="G39" s="9"/>
      <c r="H39" s="9"/>
      <c r="I39" s="9"/>
      <c r="J39" s="9"/>
      <c r="K39" s="9"/>
      <c r="L39" s="9"/>
      <c r="M39" s="9"/>
      <c r="N39" s="9"/>
      <c r="O39" s="14"/>
    </row>
    <row r="40" spans="1:15" x14ac:dyDescent="0.25">
      <c r="A40" s="13"/>
      <c r="B40" s="9"/>
      <c r="C40" s="9"/>
      <c r="D40" s="9"/>
      <c r="E40" s="9"/>
      <c r="F40" s="9"/>
      <c r="G40" s="9"/>
      <c r="H40" s="9"/>
      <c r="I40" s="9"/>
      <c r="J40" s="9"/>
      <c r="K40" s="9"/>
      <c r="L40" s="9"/>
      <c r="M40" s="9"/>
      <c r="N40" s="9"/>
      <c r="O40" s="14"/>
    </row>
    <row r="41" spans="1:15" x14ac:dyDescent="0.25">
      <c r="A41" s="13"/>
      <c r="B41" s="9"/>
      <c r="C41" s="9"/>
      <c r="D41" s="9"/>
      <c r="E41" s="9"/>
      <c r="F41" s="9"/>
      <c r="G41" s="9"/>
      <c r="H41" s="9"/>
      <c r="I41" s="9"/>
      <c r="J41" s="9"/>
      <c r="K41" s="9"/>
      <c r="L41" s="9"/>
      <c r="M41" s="9"/>
      <c r="N41" s="9"/>
      <c r="O41" s="14"/>
    </row>
    <row r="42" spans="1:15" x14ac:dyDescent="0.25">
      <c r="A42" s="13"/>
      <c r="B42" s="9"/>
      <c r="C42" s="9"/>
      <c r="D42" s="9"/>
      <c r="E42" s="9"/>
      <c r="F42" s="9"/>
      <c r="G42" s="9"/>
      <c r="H42" s="9"/>
      <c r="I42" s="9"/>
      <c r="J42" s="9"/>
      <c r="K42" s="9"/>
      <c r="L42" s="9"/>
      <c r="M42" s="9"/>
      <c r="N42" s="9"/>
      <c r="O42" s="14"/>
    </row>
    <row r="43" spans="1:15" x14ac:dyDescent="0.25">
      <c r="A43" s="13"/>
      <c r="B43" s="9"/>
      <c r="C43" s="9"/>
      <c r="D43" s="9"/>
      <c r="E43" s="9"/>
      <c r="F43" s="9"/>
      <c r="G43" s="9"/>
      <c r="H43" s="9"/>
      <c r="I43" s="9"/>
      <c r="J43" s="9"/>
      <c r="K43" s="9"/>
      <c r="L43" s="9"/>
      <c r="M43" s="9"/>
      <c r="N43" s="9"/>
      <c r="O43" s="14"/>
    </row>
    <row r="44" spans="1:15" x14ac:dyDescent="0.25">
      <c r="A44" s="13"/>
      <c r="B44" s="9"/>
      <c r="C44" s="9"/>
      <c r="D44" s="9"/>
      <c r="E44" s="9"/>
      <c r="F44" s="9"/>
      <c r="G44" s="9"/>
      <c r="H44" s="9"/>
      <c r="I44" s="9"/>
      <c r="J44" s="9"/>
      <c r="K44" s="9"/>
      <c r="L44" s="9"/>
      <c r="M44" s="9"/>
      <c r="N44" s="9"/>
      <c r="O44" s="14"/>
    </row>
    <row r="45" spans="1:15" x14ac:dyDescent="0.25">
      <c r="A45" s="13"/>
      <c r="B45" s="9"/>
      <c r="C45" s="9"/>
      <c r="D45" s="9"/>
      <c r="E45" s="9"/>
      <c r="F45" s="9"/>
      <c r="G45" s="9"/>
      <c r="H45" s="9"/>
      <c r="I45" s="9"/>
      <c r="J45" s="9"/>
      <c r="K45" s="9"/>
      <c r="L45" s="9"/>
      <c r="M45" s="9"/>
      <c r="N45" s="9"/>
      <c r="O45" s="14"/>
    </row>
    <row r="46" spans="1:15" x14ac:dyDescent="0.25">
      <c r="A46" s="13"/>
      <c r="B46" s="9"/>
      <c r="C46" s="9"/>
      <c r="D46" s="9"/>
      <c r="E46" s="9"/>
      <c r="F46" s="9"/>
      <c r="G46" s="9"/>
      <c r="H46" s="9"/>
      <c r="I46" s="9"/>
      <c r="J46" s="9"/>
      <c r="K46" s="9"/>
      <c r="L46" s="9"/>
      <c r="M46" s="9"/>
      <c r="N46" s="9"/>
      <c r="O46" s="14"/>
    </row>
    <row r="47" spans="1:15" x14ac:dyDescent="0.25">
      <c r="A47" s="13"/>
      <c r="B47" s="9"/>
      <c r="C47" s="9"/>
      <c r="D47" s="9"/>
      <c r="E47" s="9"/>
      <c r="F47" s="9"/>
      <c r="G47" s="9"/>
      <c r="H47" s="9"/>
      <c r="I47" s="9"/>
      <c r="J47" s="9"/>
      <c r="K47" s="9"/>
      <c r="L47" s="9"/>
      <c r="M47" s="9"/>
      <c r="N47" s="9"/>
      <c r="O47" s="14"/>
    </row>
    <row r="48" spans="1:15" x14ac:dyDescent="0.25">
      <c r="A48" s="13"/>
      <c r="B48" s="9"/>
      <c r="C48" s="9"/>
      <c r="D48" s="9"/>
      <c r="E48" s="9"/>
      <c r="F48" s="9"/>
      <c r="G48" s="9"/>
      <c r="H48" s="9"/>
      <c r="I48" s="9"/>
      <c r="J48" s="9"/>
      <c r="K48" s="9"/>
      <c r="L48" s="9"/>
      <c r="M48" s="9"/>
      <c r="N48" s="9"/>
      <c r="O48" s="14"/>
    </row>
    <row r="49" spans="1:15" ht="15.75" thickBot="1" x14ac:dyDescent="0.3">
      <c r="A49" s="15"/>
      <c r="B49" s="16"/>
      <c r="C49" s="16"/>
      <c r="D49" s="16"/>
      <c r="E49" s="16"/>
      <c r="F49" s="16"/>
      <c r="G49" s="16"/>
      <c r="H49" s="16"/>
      <c r="I49" s="16"/>
      <c r="J49" s="16"/>
      <c r="K49" s="16"/>
      <c r="L49" s="16"/>
      <c r="M49" s="16"/>
      <c r="N49" s="16"/>
      <c r="O49" s="17"/>
    </row>
    <row r="52" spans="1:15" ht="15.75" thickBot="1" x14ac:dyDescent="0.3"/>
    <row r="53" spans="1:15" x14ac:dyDescent="0.25">
      <c r="A53" s="10"/>
      <c r="B53" s="11"/>
      <c r="C53" s="11"/>
      <c r="D53" s="11"/>
      <c r="E53" s="11"/>
      <c r="F53" s="11"/>
      <c r="G53" s="11"/>
      <c r="H53" s="11"/>
      <c r="I53" s="11"/>
      <c r="J53" s="11"/>
      <c r="K53" s="11"/>
      <c r="L53" s="11"/>
      <c r="M53" s="11"/>
      <c r="N53" s="11"/>
      <c r="O53" s="12"/>
    </row>
    <row r="54" spans="1:15" x14ac:dyDescent="0.25">
      <c r="A54" s="13"/>
      <c r="B54" s="9"/>
      <c r="C54" s="9"/>
      <c r="D54" s="9"/>
      <c r="E54" s="9"/>
      <c r="F54" s="9"/>
      <c r="G54" s="9"/>
      <c r="H54" s="9"/>
      <c r="I54" s="9"/>
      <c r="J54" s="9"/>
      <c r="K54" s="9"/>
      <c r="L54" s="9"/>
      <c r="M54" s="9"/>
      <c r="N54" s="9"/>
      <c r="O54" s="14"/>
    </row>
    <row r="55" spans="1:15" x14ac:dyDescent="0.25">
      <c r="A55" s="13"/>
      <c r="B55" s="9"/>
      <c r="C55" s="9"/>
      <c r="D55" s="9"/>
      <c r="E55" s="9"/>
      <c r="F55" s="9"/>
      <c r="G55" s="9"/>
      <c r="H55" s="9"/>
      <c r="I55" s="9"/>
      <c r="J55" s="9"/>
      <c r="K55" s="9"/>
      <c r="L55" s="9"/>
      <c r="M55" s="9"/>
      <c r="N55" s="9"/>
      <c r="O55" s="14"/>
    </row>
    <row r="56" spans="1:15" x14ac:dyDescent="0.25">
      <c r="A56" s="13"/>
      <c r="B56" s="9"/>
      <c r="C56" s="9"/>
      <c r="D56" s="9"/>
      <c r="E56" s="9"/>
      <c r="F56" s="9"/>
      <c r="G56" s="9"/>
      <c r="H56" s="9"/>
      <c r="I56" s="9"/>
      <c r="J56" s="9"/>
      <c r="K56" s="9"/>
      <c r="L56" s="9"/>
      <c r="M56" s="9"/>
      <c r="N56" s="9"/>
      <c r="O56" s="14"/>
    </row>
    <row r="57" spans="1:15" x14ac:dyDescent="0.25">
      <c r="A57" s="13"/>
      <c r="B57" s="9"/>
      <c r="C57" s="9"/>
      <c r="D57" s="9"/>
      <c r="E57" s="9"/>
      <c r="F57" s="9"/>
      <c r="G57" s="9"/>
      <c r="H57" s="9"/>
      <c r="I57" s="9"/>
      <c r="J57" s="9"/>
      <c r="K57" s="9"/>
      <c r="L57" s="9"/>
      <c r="M57" s="9"/>
      <c r="N57" s="9"/>
      <c r="O57" s="14"/>
    </row>
    <row r="58" spans="1:15" x14ac:dyDescent="0.25">
      <c r="A58" s="13"/>
      <c r="B58" s="9"/>
      <c r="C58" s="9"/>
      <c r="D58" s="9"/>
      <c r="E58" s="9"/>
      <c r="F58" s="9"/>
      <c r="G58" s="9"/>
      <c r="H58" s="9"/>
      <c r="I58" s="9"/>
      <c r="J58" s="9"/>
      <c r="K58" s="9"/>
      <c r="L58" s="9"/>
      <c r="M58" s="9"/>
      <c r="N58" s="9"/>
      <c r="O58" s="14"/>
    </row>
    <row r="59" spans="1:15" x14ac:dyDescent="0.25">
      <c r="A59" s="13"/>
      <c r="B59" s="9"/>
      <c r="C59" s="9"/>
      <c r="D59" s="9"/>
      <c r="E59" s="9"/>
      <c r="F59" s="9"/>
      <c r="G59" s="9"/>
      <c r="H59" s="9"/>
      <c r="I59" s="9"/>
      <c r="J59" s="9"/>
      <c r="K59" s="9"/>
      <c r="L59" s="9"/>
      <c r="M59" s="9"/>
      <c r="N59" s="9"/>
      <c r="O59" s="14"/>
    </row>
    <row r="60" spans="1:15" x14ac:dyDescent="0.25">
      <c r="A60" s="13"/>
      <c r="B60" s="9"/>
      <c r="C60" s="9"/>
      <c r="D60" s="9"/>
      <c r="E60" s="9"/>
      <c r="F60" s="9"/>
      <c r="G60" s="9"/>
      <c r="H60" s="9"/>
      <c r="I60" s="9"/>
      <c r="J60" s="9"/>
      <c r="K60" s="9"/>
      <c r="L60" s="9"/>
      <c r="M60" s="9"/>
      <c r="N60" s="9"/>
      <c r="O60" s="14"/>
    </row>
    <row r="61" spans="1:15" x14ac:dyDescent="0.25">
      <c r="A61" s="13"/>
      <c r="B61" s="9"/>
      <c r="C61" s="9"/>
      <c r="D61" s="9"/>
      <c r="E61" s="9"/>
      <c r="F61" s="9"/>
      <c r="G61" s="9"/>
      <c r="H61" s="9"/>
      <c r="I61" s="9"/>
      <c r="J61" s="9"/>
      <c r="K61" s="9"/>
      <c r="L61" s="9"/>
      <c r="M61" s="9"/>
      <c r="N61" s="9"/>
      <c r="O61" s="14"/>
    </row>
    <row r="62" spans="1:15" x14ac:dyDescent="0.25">
      <c r="A62" s="13"/>
      <c r="B62" s="9"/>
      <c r="C62" s="9"/>
      <c r="D62" s="9"/>
      <c r="E62" s="9"/>
      <c r="F62" s="9"/>
      <c r="G62" s="9"/>
      <c r="H62" s="9"/>
      <c r="I62" s="9"/>
      <c r="J62" s="9"/>
      <c r="K62" s="9"/>
      <c r="L62" s="9"/>
      <c r="M62" s="9"/>
      <c r="N62" s="9"/>
      <c r="O62" s="14"/>
    </row>
    <row r="63" spans="1:15" x14ac:dyDescent="0.25">
      <c r="A63" s="13"/>
      <c r="B63" s="9"/>
      <c r="C63" s="9"/>
      <c r="D63" s="9"/>
      <c r="E63" s="9"/>
      <c r="F63" s="9"/>
      <c r="G63" s="9"/>
      <c r="H63" s="9"/>
      <c r="I63" s="9"/>
      <c r="J63" s="9"/>
      <c r="K63" s="9"/>
      <c r="L63" s="9"/>
      <c r="M63" s="9"/>
      <c r="N63" s="9"/>
      <c r="O63" s="14"/>
    </row>
    <row r="64" spans="1:15" x14ac:dyDescent="0.25">
      <c r="A64" s="13"/>
      <c r="B64" s="9"/>
      <c r="C64" s="9"/>
      <c r="D64" s="9"/>
      <c r="E64" s="9"/>
      <c r="F64" s="9"/>
      <c r="G64" s="9"/>
      <c r="H64" s="9"/>
      <c r="I64" s="9"/>
      <c r="J64" s="9"/>
      <c r="K64" s="9"/>
      <c r="L64" s="9"/>
      <c r="M64" s="9"/>
      <c r="N64" s="9"/>
      <c r="O64" s="14"/>
    </row>
    <row r="65" spans="1:24" x14ac:dyDescent="0.25">
      <c r="A65" s="13"/>
      <c r="B65" s="9"/>
      <c r="C65" s="9"/>
      <c r="D65" s="9"/>
      <c r="E65" s="9"/>
      <c r="F65" s="9"/>
      <c r="G65" s="9"/>
      <c r="H65" s="9"/>
      <c r="I65" s="9"/>
      <c r="J65" s="9"/>
      <c r="K65" s="9"/>
      <c r="L65" s="9"/>
      <c r="M65" s="9"/>
      <c r="N65" s="9"/>
      <c r="O65" s="14"/>
    </row>
    <row r="66" spans="1:24" x14ac:dyDescent="0.25">
      <c r="A66" s="13"/>
      <c r="B66" s="9"/>
      <c r="C66" s="9"/>
      <c r="D66" s="9"/>
      <c r="E66" s="9"/>
      <c r="F66" s="9"/>
      <c r="G66" s="9"/>
      <c r="H66" s="9"/>
      <c r="I66" s="9"/>
      <c r="J66" s="9"/>
      <c r="K66" s="9"/>
      <c r="L66" s="9"/>
      <c r="M66" s="9"/>
      <c r="N66" s="9"/>
      <c r="O66" s="14"/>
    </row>
    <row r="67" spans="1:24" ht="15.75" thickBot="1" x14ac:dyDescent="0.3">
      <c r="A67" s="15"/>
      <c r="B67" s="16"/>
      <c r="C67" s="16"/>
      <c r="D67" s="16"/>
      <c r="E67" s="16"/>
      <c r="F67" s="16"/>
      <c r="G67" s="16"/>
      <c r="H67" s="16"/>
      <c r="I67" s="16"/>
      <c r="J67" s="16"/>
      <c r="K67" s="16"/>
      <c r="L67" s="16"/>
      <c r="M67" s="16"/>
      <c r="N67" s="16"/>
      <c r="O67" s="17"/>
    </row>
    <row r="68" spans="1:24" ht="15.75" thickBot="1" x14ac:dyDescent="0.3"/>
    <row r="69" spans="1:24" x14ac:dyDescent="0.25">
      <c r="A69" s="10"/>
      <c r="B69" s="20"/>
      <c r="C69" s="20"/>
      <c r="D69" s="20"/>
      <c r="E69" s="20"/>
      <c r="F69" s="20"/>
      <c r="G69" s="20"/>
      <c r="H69" s="20"/>
      <c r="I69" s="20"/>
      <c r="J69" s="20"/>
      <c r="K69" s="20"/>
      <c r="L69" s="20"/>
      <c r="M69" s="20"/>
      <c r="N69" s="20"/>
      <c r="O69" s="20"/>
      <c r="P69" s="12"/>
      <c r="Q69" s="9"/>
      <c r="R69" s="9"/>
      <c r="S69" s="9"/>
      <c r="T69" s="9"/>
      <c r="U69" s="9"/>
      <c r="V69" s="9"/>
      <c r="W69" s="9"/>
      <c r="X69" s="9"/>
    </row>
    <row r="70" spans="1:24" x14ac:dyDescent="0.25">
      <c r="A70" s="13"/>
      <c r="B70" s="9"/>
      <c r="C70" s="9"/>
      <c r="D70" s="9"/>
      <c r="E70" s="9"/>
      <c r="F70" s="9"/>
      <c r="G70" s="9"/>
      <c r="H70" s="9"/>
      <c r="I70" s="9"/>
      <c r="J70" s="9"/>
      <c r="K70" s="9"/>
      <c r="L70" s="9"/>
      <c r="M70" s="9"/>
      <c r="N70" s="9"/>
      <c r="O70" s="9"/>
      <c r="P70" s="14"/>
      <c r="Q70" s="9"/>
      <c r="R70" s="9"/>
      <c r="S70" s="9"/>
      <c r="T70" s="9"/>
      <c r="U70" s="9"/>
      <c r="V70" s="9"/>
      <c r="W70" s="9"/>
      <c r="X70" s="9"/>
    </row>
    <row r="71" spans="1:24" x14ac:dyDescent="0.25">
      <c r="A71" s="13"/>
      <c r="B71" s="9"/>
      <c r="C71" s="9"/>
      <c r="D71" s="9"/>
      <c r="E71" s="9"/>
      <c r="F71" s="9"/>
      <c r="G71" s="9"/>
      <c r="H71" s="9"/>
      <c r="I71" s="9"/>
      <c r="J71" s="9"/>
      <c r="K71" s="9"/>
      <c r="L71" s="9"/>
      <c r="M71" s="9"/>
      <c r="N71" s="9"/>
      <c r="O71" s="9"/>
      <c r="P71" s="14"/>
      <c r="Q71" s="9"/>
      <c r="R71" s="9"/>
      <c r="S71" s="9"/>
      <c r="T71" s="9"/>
      <c r="U71" s="9"/>
      <c r="V71" s="9"/>
      <c r="W71" s="9"/>
      <c r="X71" s="9"/>
    </row>
    <row r="72" spans="1:24" x14ac:dyDescent="0.25">
      <c r="A72" s="13"/>
      <c r="B72" s="9"/>
      <c r="C72" s="9"/>
      <c r="D72" s="9"/>
      <c r="E72" s="9"/>
      <c r="F72" s="9"/>
      <c r="G72" s="9"/>
      <c r="H72" s="9"/>
      <c r="I72" s="9"/>
      <c r="J72" s="9"/>
      <c r="K72" s="9"/>
      <c r="L72" s="9"/>
      <c r="M72" s="9"/>
      <c r="N72" s="9"/>
      <c r="O72" s="9"/>
      <c r="P72" s="14"/>
      <c r="Q72" s="9"/>
      <c r="R72" s="9"/>
      <c r="S72" s="9"/>
      <c r="T72" s="9"/>
      <c r="U72" s="9"/>
      <c r="V72" s="9"/>
      <c r="W72" s="9"/>
      <c r="X72" s="9"/>
    </row>
    <row r="73" spans="1:24" x14ac:dyDescent="0.25">
      <c r="A73" s="13"/>
      <c r="B73" s="9"/>
      <c r="C73" s="9"/>
      <c r="D73" s="9"/>
      <c r="E73" s="9"/>
      <c r="F73" s="9"/>
      <c r="G73" s="9"/>
      <c r="H73" s="9"/>
      <c r="I73" s="9"/>
      <c r="J73" s="9"/>
      <c r="K73" s="9"/>
      <c r="L73" s="9"/>
      <c r="M73" s="9"/>
      <c r="N73" s="9"/>
      <c r="O73" s="9"/>
      <c r="P73" s="14"/>
      <c r="Q73" s="9"/>
      <c r="R73" s="9"/>
      <c r="S73" s="9"/>
      <c r="T73" s="9"/>
      <c r="U73" s="9"/>
      <c r="V73" s="9"/>
      <c r="W73" s="9"/>
      <c r="X73" s="9"/>
    </row>
    <row r="74" spans="1:24" x14ac:dyDescent="0.25">
      <c r="A74" s="13"/>
      <c r="B74" s="9"/>
      <c r="C74" s="9"/>
      <c r="D74" s="9"/>
      <c r="E74" s="9"/>
      <c r="F74" s="9"/>
      <c r="G74" s="9"/>
      <c r="H74" s="9"/>
      <c r="I74" s="9"/>
      <c r="J74" s="9"/>
      <c r="K74" s="9"/>
      <c r="L74" s="9"/>
      <c r="M74" s="9"/>
      <c r="N74" s="9"/>
      <c r="O74" s="9"/>
      <c r="P74" s="14"/>
      <c r="Q74" s="9"/>
      <c r="R74" s="9"/>
      <c r="S74" s="9"/>
      <c r="T74" s="9"/>
      <c r="U74" s="9"/>
      <c r="V74" s="9"/>
      <c r="W74" s="9"/>
      <c r="X74" s="9"/>
    </row>
    <row r="75" spans="1:24" x14ac:dyDescent="0.25">
      <c r="A75" s="13"/>
      <c r="B75" s="9"/>
      <c r="C75" s="9"/>
      <c r="D75" s="9"/>
      <c r="E75" s="9"/>
      <c r="F75" s="9"/>
      <c r="G75" s="9"/>
      <c r="H75" s="9"/>
      <c r="I75" s="9"/>
      <c r="J75" s="9"/>
      <c r="K75" s="9"/>
      <c r="L75" s="9"/>
      <c r="M75" s="9"/>
      <c r="N75" s="9"/>
      <c r="O75" s="9"/>
      <c r="P75" s="14"/>
      <c r="Q75" s="9"/>
      <c r="R75" s="9"/>
      <c r="S75" s="9"/>
      <c r="T75" s="9"/>
      <c r="U75" s="9"/>
      <c r="V75" s="9"/>
      <c r="W75" s="9"/>
      <c r="X75" s="9"/>
    </row>
    <row r="76" spans="1:24" x14ac:dyDescent="0.25">
      <c r="A76" s="13"/>
      <c r="B76" s="9"/>
      <c r="C76" s="9"/>
      <c r="D76" s="9"/>
      <c r="E76" s="9"/>
      <c r="F76" s="9"/>
      <c r="G76" s="9"/>
      <c r="H76" s="9"/>
      <c r="I76" s="9"/>
      <c r="J76" s="9"/>
      <c r="K76" s="9"/>
      <c r="L76" s="9"/>
      <c r="M76" s="9"/>
      <c r="N76" s="9"/>
      <c r="O76" s="9"/>
      <c r="P76" s="14"/>
      <c r="Q76" s="9"/>
      <c r="R76" s="9"/>
      <c r="S76" s="9"/>
      <c r="T76" s="9"/>
      <c r="U76" s="9"/>
      <c r="V76" s="9"/>
      <c r="W76" s="9"/>
      <c r="X76" s="9"/>
    </row>
    <row r="77" spans="1:24" x14ac:dyDescent="0.25">
      <c r="A77" s="13"/>
      <c r="B77" s="9"/>
      <c r="C77" s="9"/>
      <c r="D77" s="9"/>
      <c r="E77" s="9"/>
      <c r="F77" s="9"/>
      <c r="G77" s="9"/>
      <c r="H77" s="9"/>
      <c r="I77" s="9"/>
      <c r="J77" s="9"/>
      <c r="K77" s="9"/>
      <c r="L77" s="9"/>
      <c r="M77" s="9"/>
      <c r="N77" s="9"/>
      <c r="O77" s="9"/>
      <c r="P77" s="14"/>
      <c r="Q77" s="9"/>
      <c r="R77" s="9"/>
      <c r="S77" s="9"/>
      <c r="T77" s="9"/>
      <c r="U77" s="9"/>
      <c r="V77" s="9"/>
      <c r="W77" s="9"/>
      <c r="X77" s="9"/>
    </row>
    <row r="78" spans="1:24" x14ac:dyDescent="0.25">
      <c r="A78" s="13"/>
      <c r="B78" s="9"/>
      <c r="C78" s="9"/>
      <c r="D78" s="9"/>
      <c r="E78" s="9"/>
      <c r="F78" s="9"/>
      <c r="G78" s="9"/>
      <c r="H78" s="9"/>
      <c r="I78" s="9"/>
      <c r="J78" s="9"/>
      <c r="K78" s="9"/>
      <c r="L78" s="9"/>
      <c r="M78" s="9"/>
      <c r="N78" s="9"/>
      <c r="O78" s="9"/>
      <c r="P78" s="14"/>
      <c r="Q78" s="9"/>
      <c r="R78" s="9"/>
      <c r="S78" s="9"/>
      <c r="T78" s="9"/>
      <c r="U78" s="9"/>
      <c r="V78" s="9"/>
      <c r="W78" s="9"/>
      <c r="X78" s="9"/>
    </row>
    <row r="79" spans="1:24" x14ac:dyDescent="0.25">
      <c r="A79" s="13"/>
      <c r="B79" s="9"/>
      <c r="C79" s="9"/>
      <c r="D79" s="9"/>
      <c r="E79" s="9"/>
      <c r="F79" s="9"/>
      <c r="G79" s="9"/>
      <c r="H79" s="9"/>
      <c r="I79" s="9"/>
      <c r="J79" s="9"/>
      <c r="K79" s="9"/>
      <c r="L79" s="9"/>
      <c r="M79" s="9"/>
      <c r="N79" s="9"/>
      <c r="O79" s="9"/>
      <c r="P79" s="14"/>
      <c r="Q79" s="9"/>
      <c r="R79" s="9"/>
      <c r="S79" s="9"/>
      <c r="T79" s="9"/>
      <c r="U79" s="9"/>
      <c r="V79" s="9"/>
      <c r="W79" s="9"/>
      <c r="X79" s="9"/>
    </row>
    <row r="80" spans="1:24" x14ac:dyDescent="0.25">
      <c r="A80" s="13"/>
      <c r="B80" s="9"/>
      <c r="C80" s="9"/>
      <c r="D80" s="9"/>
      <c r="E80" s="9"/>
      <c r="F80" s="9"/>
      <c r="G80" s="9"/>
      <c r="H80" s="9"/>
      <c r="I80" s="9"/>
      <c r="J80" s="9"/>
      <c r="K80" s="9"/>
      <c r="L80" s="9"/>
      <c r="M80" s="9"/>
      <c r="N80" s="9"/>
      <c r="O80" s="9"/>
      <c r="P80" s="14"/>
      <c r="Q80" s="9"/>
      <c r="R80" s="9"/>
      <c r="S80" s="9"/>
      <c r="T80" s="9"/>
      <c r="U80" s="9"/>
      <c r="V80" s="9"/>
      <c r="W80" s="9"/>
      <c r="X80" s="9"/>
    </row>
    <row r="81" spans="1:24" x14ac:dyDescent="0.25">
      <c r="A81" s="13"/>
      <c r="B81" s="9"/>
      <c r="C81" s="9"/>
      <c r="D81" s="9"/>
      <c r="E81" s="9"/>
      <c r="F81" s="9"/>
      <c r="G81" s="9"/>
      <c r="H81" s="9"/>
      <c r="I81" s="9"/>
      <c r="J81" s="9"/>
      <c r="K81" s="9"/>
      <c r="L81" s="9"/>
      <c r="M81" s="9"/>
      <c r="N81" s="9"/>
      <c r="O81" s="9"/>
      <c r="P81" s="14"/>
      <c r="Q81" s="9"/>
      <c r="R81" s="9"/>
      <c r="S81" s="9"/>
      <c r="T81" s="9"/>
      <c r="U81" s="9"/>
      <c r="V81" s="9"/>
      <c r="W81" s="9"/>
      <c r="X81" s="9"/>
    </row>
    <row r="82" spans="1:24" x14ac:dyDescent="0.25">
      <c r="A82" s="13"/>
      <c r="B82" s="9"/>
      <c r="C82" s="9"/>
      <c r="D82" s="9"/>
      <c r="E82" s="9"/>
      <c r="F82" s="9"/>
      <c r="G82" s="9"/>
      <c r="H82" s="9"/>
      <c r="I82" s="9"/>
      <c r="J82" s="9"/>
      <c r="K82" s="9"/>
      <c r="L82" s="9"/>
      <c r="M82" s="9"/>
      <c r="N82" s="9"/>
      <c r="O82" s="9"/>
      <c r="P82" s="14"/>
      <c r="Q82" s="9"/>
      <c r="R82" s="9"/>
      <c r="S82" s="9"/>
      <c r="T82" s="9"/>
      <c r="U82" s="9"/>
      <c r="V82" s="9"/>
      <c r="W82" s="9"/>
      <c r="X82" s="9"/>
    </row>
    <row r="83" spans="1:24" x14ac:dyDescent="0.25">
      <c r="A83" s="13"/>
      <c r="B83" s="9"/>
      <c r="C83" s="9"/>
      <c r="D83" s="9"/>
      <c r="E83" s="9"/>
      <c r="F83" s="9"/>
      <c r="G83" s="9"/>
      <c r="H83" s="9"/>
      <c r="I83" s="9"/>
      <c r="J83" s="9"/>
      <c r="K83" s="9"/>
      <c r="L83" s="9"/>
      <c r="M83" s="9"/>
      <c r="N83" s="9"/>
      <c r="O83" s="9"/>
      <c r="P83" s="14"/>
      <c r="Q83" s="9"/>
      <c r="R83" s="9"/>
      <c r="S83" s="9"/>
      <c r="T83" s="9"/>
      <c r="U83" s="9"/>
      <c r="V83" s="9"/>
      <c r="W83" s="9"/>
      <c r="X83" s="9"/>
    </row>
    <row r="84" spans="1:24" x14ac:dyDescent="0.25">
      <c r="A84" s="13"/>
      <c r="B84" s="9"/>
      <c r="C84" s="9"/>
      <c r="D84" s="9"/>
      <c r="E84" s="9"/>
      <c r="F84" s="9"/>
      <c r="G84" s="9"/>
      <c r="H84" s="9"/>
      <c r="I84" s="9"/>
      <c r="J84" s="9"/>
      <c r="K84" s="9"/>
      <c r="L84" s="9"/>
      <c r="M84" s="9"/>
      <c r="N84" s="9"/>
      <c r="O84" s="9"/>
      <c r="P84" s="14"/>
      <c r="Q84" s="9"/>
      <c r="R84" s="9"/>
      <c r="S84" s="9"/>
      <c r="T84" s="9"/>
      <c r="U84" s="9"/>
      <c r="V84" s="9"/>
      <c r="W84" s="9"/>
      <c r="X84" s="9"/>
    </row>
    <row r="85" spans="1:24" x14ac:dyDescent="0.25">
      <c r="A85" s="13"/>
      <c r="B85" s="9"/>
      <c r="C85" s="9"/>
      <c r="D85" s="9"/>
      <c r="E85" s="9"/>
      <c r="F85" s="9"/>
      <c r="G85" s="9"/>
      <c r="H85" s="9"/>
      <c r="I85" s="9"/>
      <c r="J85" s="9"/>
      <c r="K85" s="9"/>
      <c r="L85" s="9"/>
      <c r="M85" s="9"/>
      <c r="N85" s="9"/>
      <c r="O85" s="9"/>
      <c r="P85" s="14"/>
      <c r="Q85" s="9"/>
      <c r="R85" s="9"/>
      <c r="S85" s="9"/>
      <c r="T85" s="9"/>
      <c r="U85" s="9"/>
      <c r="V85" s="9"/>
      <c r="W85" s="9"/>
      <c r="X85" s="9"/>
    </row>
    <row r="86" spans="1:24" x14ac:dyDescent="0.25">
      <c r="A86" s="13"/>
      <c r="B86" s="9"/>
      <c r="C86" s="9"/>
      <c r="D86" s="9"/>
      <c r="E86" s="9"/>
      <c r="F86" s="9"/>
      <c r="G86" s="9"/>
      <c r="H86" s="9"/>
      <c r="I86" s="9"/>
      <c r="J86" s="9"/>
      <c r="K86" s="9"/>
      <c r="L86" s="9"/>
      <c r="M86" s="9"/>
      <c r="N86" s="9"/>
      <c r="O86" s="9"/>
      <c r="P86" s="14"/>
      <c r="Q86" s="9"/>
      <c r="R86" s="9"/>
      <c r="S86" s="9"/>
      <c r="T86" s="9"/>
      <c r="U86" s="9"/>
      <c r="V86" s="9"/>
      <c r="W86" s="9"/>
      <c r="X86" s="9"/>
    </row>
    <row r="87" spans="1:24" x14ac:dyDescent="0.25">
      <c r="A87" s="13"/>
      <c r="B87" s="9"/>
      <c r="C87" s="9"/>
      <c r="D87" s="9"/>
      <c r="E87" s="9"/>
      <c r="F87" s="9"/>
      <c r="G87" s="9"/>
      <c r="H87" s="9"/>
      <c r="I87" s="9"/>
      <c r="J87" s="9"/>
      <c r="K87" s="9"/>
      <c r="L87" s="9"/>
      <c r="M87" s="9"/>
      <c r="N87" s="9"/>
      <c r="O87" s="9"/>
      <c r="P87" s="14"/>
      <c r="Q87" s="9"/>
      <c r="R87" s="9"/>
      <c r="S87" s="9"/>
      <c r="T87" s="9"/>
      <c r="U87" s="9"/>
      <c r="V87" s="9"/>
      <c r="W87" s="9"/>
      <c r="X87" s="9"/>
    </row>
    <row r="88" spans="1:24" x14ac:dyDescent="0.25">
      <c r="A88" s="13"/>
      <c r="B88" s="9"/>
      <c r="C88" s="9"/>
      <c r="D88" s="9"/>
      <c r="E88" s="9"/>
      <c r="F88" s="9"/>
      <c r="G88" s="9"/>
      <c r="H88" s="9"/>
      <c r="I88" s="9"/>
      <c r="J88" s="9"/>
      <c r="K88" s="9"/>
      <c r="L88" s="9"/>
      <c r="M88" s="9"/>
      <c r="N88" s="9"/>
      <c r="O88" s="9"/>
      <c r="P88" s="14"/>
      <c r="Q88" s="9"/>
      <c r="R88" s="9"/>
      <c r="S88" s="9"/>
      <c r="T88" s="9"/>
      <c r="U88" s="9"/>
      <c r="V88" s="9"/>
      <c r="W88" s="9"/>
      <c r="X88" s="9"/>
    </row>
    <row r="89" spans="1:24" x14ac:dyDescent="0.25">
      <c r="A89" s="13"/>
      <c r="B89" s="9"/>
      <c r="C89" s="9"/>
      <c r="D89" s="9"/>
      <c r="E89" s="9"/>
      <c r="F89" s="9"/>
      <c r="G89" s="9"/>
      <c r="H89" s="9"/>
      <c r="I89" s="9"/>
      <c r="J89" s="9"/>
      <c r="K89" s="9"/>
      <c r="L89" s="9"/>
      <c r="M89" s="9"/>
      <c r="N89" s="9"/>
      <c r="O89" s="9"/>
      <c r="P89" s="14"/>
      <c r="Q89" s="9"/>
      <c r="R89" s="9"/>
      <c r="S89" s="9"/>
      <c r="T89" s="9"/>
      <c r="U89" s="9"/>
      <c r="V89" s="9"/>
      <c r="W89" s="9"/>
      <c r="X89" s="9"/>
    </row>
    <row r="90" spans="1:24" x14ac:dyDescent="0.25">
      <c r="A90" s="13"/>
      <c r="B90" s="9"/>
      <c r="C90" s="9"/>
      <c r="D90" s="9"/>
      <c r="E90" s="9"/>
      <c r="F90" s="9"/>
      <c r="G90" s="9"/>
      <c r="H90" s="9"/>
      <c r="I90" s="9"/>
      <c r="J90" s="9"/>
      <c r="K90" s="9"/>
      <c r="L90" s="9"/>
      <c r="M90" s="9"/>
      <c r="N90" s="9"/>
      <c r="O90" s="9"/>
      <c r="P90" s="14"/>
      <c r="Q90" s="9"/>
      <c r="R90" s="9"/>
      <c r="S90" s="9"/>
      <c r="T90" s="9"/>
      <c r="U90" s="9"/>
      <c r="V90" s="9"/>
      <c r="W90" s="9"/>
      <c r="X90" s="9"/>
    </row>
    <row r="91" spans="1:24" x14ac:dyDescent="0.25">
      <c r="A91" s="13"/>
      <c r="B91" s="9"/>
      <c r="C91" s="9"/>
      <c r="D91" s="9"/>
      <c r="E91" s="9"/>
      <c r="F91" s="9"/>
      <c r="G91" s="9"/>
      <c r="H91" s="9"/>
      <c r="I91" s="9"/>
      <c r="J91" s="9"/>
      <c r="K91" s="9"/>
      <c r="L91" s="9"/>
      <c r="M91" s="9"/>
      <c r="N91" s="9"/>
      <c r="O91" s="9"/>
      <c r="P91" s="14"/>
      <c r="Q91" s="9"/>
      <c r="R91" s="9"/>
      <c r="S91" s="9"/>
      <c r="T91" s="9"/>
      <c r="U91" s="9"/>
      <c r="V91" s="9"/>
      <c r="W91" s="9"/>
      <c r="X91" s="9"/>
    </row>
    <row r="92" spans="1:24" ht="15.75" thickBot="1" x14ac:dyDescent="0.3">
      <c r="A92" s="15"/>
      <c r="B92" s="16"/>
      <c r="C92" s="16"/>
      <c r="D92" s="16"/>
      <c r="E92" s="16"/>
      <c r="F92" s="16"/>
      <c r="G92" s="16"/>
      <c r="H92" s="16"/>
      <c r="I92" s="16"/>
      <c r="J92" s="16"/>
      <c r="K92" s="16"/>
      <c r="L92" s="16"/>
      <c r="M92" s="16"/>
      <c r="N92" s="16"/>
      <c r="O92" s="16"/>
      <c r="P92" s="17"/>
      <c r="Q92" s="9"/>
      <c r="R92" s="9"/>
      <c r="S92" s="9"/>
      <c r="T92" s="9"/>
      <c r="U92" s="9"/>
      <c r="V92" s="9"/>
      <c r="W92" s="9"/>
      <c r="X92" s="9"/>
    </row>
    <row r="93" spans="1:24" x14ac:dyDescent="0.25">
      <c r="A93" s="9"/>
      <c r="B93" s="9"/>
      <c r="C93" s="9"/>
      <c r="D93" s="9"/>
      <c r="E93" s="9"/>
      <c r="F93" s="9"/>
      <c r="G93" s="9"/>
      <c r="H93" s="9"/>
      <c r="I93" s="9"/>
      <c r="J93" s="9"/>
      <c r="K93" s="9"/>
      <c r="L93" s="9"/>
      <c r="M93" s="9"/>
      <c r="N93" s="9"/>
      <c r="O93" s="9"/>
      <c r="P93" s="9"/>
      <c r="Q93" s="9"/>
      <c r="R93" s="9"/>
      <c r="S93" s="9"/>
      <c r="T93" s="9"/>
      <c r="U93" s="9"/>
      <c r="V93" s="9"/>
      <c r="W93" s="9"/>
      <c r="X93" s="9"/>
    </row>
    <row r="94" spans="1:24" ht="15.75" thickBot="1" x14ac:dyDescent="0.3"/>
    <row r="95" spans="1:24" x14ac:dyDescent="0.25">
      <c r="A95" s="10"/>
      <c r="B95" s="19"/>
      <c r="C95" s="19"/>
      <c r="D95" s="19"/>
      <c r="E95" s="19"/>
      <c r="F95" s="19"/>
      <c r="G95" s="19"/>
      <c r="H95" s="19"/>
      <c r="I95" s="19"/>
      <c r="J95" s="19"/>
      <c r="K95" s="19"/>
      <c r="L95" s="12"/>
      <c r="M95" s="9"/>
      <c r="N95" s="9"/>
      <c r="O95" s="9"/>
      <c r="P95" s="9"/>
      <c r="Q95" s="9"/>
    </row>
    <row r="96" spans="1:24" x14ac:dyDescent="0.25">
      <c r="A96" s="13"/>
      <c r="B96" s="9"/>
      <c r="C96" s="9"/>
      <c r="D96" s="9"/>
      <c r="E96" s="9"/>
      <c r="F96" s="9"/>
      <c r="G96" s="9"/>
      <c r="H96" s="9"/>
      <c r="I96" s="9"/>
      <c r="J96" s="9"/>
      <c r="K96" s="9"/>
      <c r="L96" s="14"/>
      <c r="M96" s="9"/>
      <c r="N96" s="9"/>
      <c r="O96" s="9"/>
      <c r="P96" s="9"/>
      <c r="Q96" s="9"/>
      <c r="R96" s="9"/>
    </row>
    <row r="97" spans="1:18" x14ac:dyDescent="0.25">
      <c r="A97" s="13"/>
      <c r="B97" s="9"/>
      <c r="C97" s="9"/>
      <c r="D97" s="9"/>
      <c r="E97" s="9"/>
      <c r="F97" s="9"/>
      <c r="G97" s="9"/>
      <c r="H97" s="9"/>
      <c r="I97" s="9"/>
      <c r="J97" s="9"/>
      <c r="K97" s="9"/>
      <c r="L97" s="14"/>
      <c r="M97" s="9"/>
      <c r="N97" s="9"/>
      <c r="O97" s="9"/>
      <c r="P97" s="9"/>
      <c r="Q97" s="9"/>
      <c r="R97" s="9"/>
    </row>
    <row r="98" spans="1:18" x14ac:dyDescent="0.25">
      <c r="A98" s="13"/>
      <c r="B98" s="9"/>
      <c r="C98" s="9"/>
      <c r="D98" s="9"/>
      <c r="E98" s="9"/>
      <c r="F98" s="9"/>
      <c r="G98" s="9"/>
      <c r="H98" s="9"/>
      <c r="I98" s="9"/>
      <c r="J98" s="9"/>
      <c r="K98" s="9"/>
      <c r="L98" s="14"/>
      <c r="M98" s="9"/>
      <c r="N98" s="9"/>
      <c r="O98" s="9"/>
      <c r="P98" s="9"/>
      <c r="Q98" s="9"/>
      <c r="R98" s="9"/>
    </row>
    <row r="99" spans="1:18" x14ac:dyDescent="0.25">
      <c r="A99" s="13"/>
      <c r="B99" s="9"/>
      <c r="C99" s="9"/>
      <c r="D99" s="9"/>
      <c r="E99" s="9"/>
      <c r="F99" s="9"/>
      <c r="G99" s="9"/>
      <c r="H99" s="9"/>
      <c r="I99" s="9"/>
      <c r="J99" s="9"/>
      <c r="K99" s="9"/>
      <c r="L99" s="14"/>
      <c r="M99" s="9"/>
      <c r="N99" s="9"/>
      <c r="O99" s="9"/>
      <c r="P99" s="9"/>
      <c r="Q99" s="9"/>
      <c r="R99" s="9"/>
    </row>
    <row r="100" spans="1:18" x14ac:dyDescent="0.25">
      <c r="A100" s="13"/>
      <c r="B100" s="9"/>
      <c r="C100" s="9"/>
      <c r="D100" s="9"/>
      <c r="E100" s="9"/>
      <c r="F100" s="9"/>
      <c r="G100" s="9"/>
      <c r="H100" s="9"/>
      <c r="I100" s="9"/>
      <c r="J100" s="9"/>
      <c r="K100" s="9"/>
      <c r="L100" s="14"/>
      <c r="M100" s="9"/>
      <c r="N100" s="9"/>
      <c r="O100" s="9"/>
      <c r="P100" s="9"/>
      <c r="Q100" s="9"/>
      <c r="R100" s="9"/>
    </row>
    <row r="101" spans="1:18" x14ac:dyDescent="0.25">
      <c r="A101" s="13"/>
      <c r="B101" s="9"/>
      <c r="C101" s="9"/>
      <c r="D101" s="9"/>
      <c r="E101" s="9"/>
      <c r="F101" s="9"/>
      <c r="G101" s="9"/>
      <c r="H101" s="9"/>
      <c r="I101" s="9"/>
      <c r="J101" s="9"/>
      <c r="K101" s="9"/>
      <c r="L101" s="14"/>
      <c r="M101" s="9"/>
      <c r="N101" s="9"/>
      <c r="O101" s="9"/>
      <c r="P101" s="9"/>
      <c r="Q101" s="9"/>
      <c r="R101" s="9"/>
    </row>
    <row r="102" spans="1:18" x14ac:dyDescent="0.25">
      <c r="A102" s="13"/>
      <c r="B102" s="9"/>
      <c r="C102" s="9"/>
      <c r="D102" s="9"/>
      <c r="E102" s="9"/>
      <c r="F102" s="9"/>
      <c r="G102" s="9"/>
      <c r="H102" s="9"/>
      <c r="I102" s="9"/>
      <c r="J102" s="9"/>
      <c r="K102" s="9"/>
      <c r="L102" s="14"/>
      <c r="M102" s="9"/>
      <c r="N102" s="9"/>
      <c r="O102" s="9"/>
      <c r="P102" s="9"/>
      <c r="Q102" s="9"/>
      <c r="R102" s="9"/>
    </row>
    <row r="103" spans="1:18" x14ac:dyDescent="0.25">
      <c r="A103" s="13"/>
      <c r="B103" s="9"/>
      <c r="C103" s="9"/>
      <c r="D103" s="9"/>
      <c r="E103" s="9"/>
      <c r="F103" s="9"/>
      <c r="G103" s="9"/>
      <c r="H103" s="9"/>
      <c r="I103" s="9"/>
      <c r="J103" s="9"/>
      <c r="K103" s="9"/>
      <c r="L103" s="14"/>
      <c r="M103" s="9"/>
      <c r="N103" s="9"/>
      <c r="O103" s="9"/>
      <c r="P103" s="9"/>
      <c r="Q103" s="9"/>
      <c r="R103" s="9"/>
    </row>
    <row r="104" spans="1:18" x14ac:dyDescent="0.25">
      <c r="A104" s="13"/>
      <c r="B104" s="9"/>
      <c r="C104" s="9"/>
      <c r="D104" s="9"/>
      <c r="E104" s="9"/>
      <c r="F104" s="9"/>
      <c r="G104" s="9"/>
      <c r="H104" s="9"/>
      <c r="I104" s="9"/>
      <c r="J104" s="9"/>
      <c r="K104" s="9"/>
      <c r="L104" s="14"/>
      <c r="M104" s="9"/>
      <c r="N104" s="9"/>
      <c r="O104" s="9"/>
      <c r="P104" s="9"/>
      <c r="Q104" s="9"/>
      <c r="R104" s="9"/>
    </row>
    <row r="105" spans="1:18" x14ac:dyDescent="0.25">
      <c r="A105" s="13"/>
      <c r="B105" s="9"/>
      <c r="C105" s="9"/>
      <c r="D105" s="9"/>
      <c r="E105" s="9"/>
      <c r="F105" s="9"/>
      <c r="G105" s="9"/>
      <c r="H105" s="9"/>
      <c r="I105" s="9"/>
      <c r="J105" s="9"/>
      <c r="K105" s="9"/>
      <c r="L105" s="14"/>
      <c r="M105" s="9"/>
      <c r="N105" s="9"/>
      <c r="O105" s="9"/>
      <c r="P105" s="9"/>
      <c r="Q105" s="9"/>
      <c r="R105" s="9"/>
    </row>
    <row r="106" spans="1:18" x14ac:dyDescent="0.25">
      <c r="A106" s="13"/>
      <c r="B106" s="9"/>
      <c r="C106" s="9"/>
      <c r="D106" s="9"/>
      <c r="E106" s="9"/>
      <c r="F106" s="9"/>
      <c r="G106" s="9"/>
      <c r="H106" s="9"/>
      <c r="I106" s="9"/>
      <c r="J106" s="9"/>
      <c r="K106" s="9"/>
      <c r="L106" s="14"/>
      <c r="M106" s="9"/>
      <c r="N106" s="9"/>
      <c r="O106" s="9"/>
      <c r="P106" s="9"/>
      <c r="Q106" s="9"/>
      <c r="R106" s="9"/>
    </row>
    <row r="107" spans="1:18" x14ac:dyDescent="0.25">
      <c r="A107" s="13"/>
      <c r="B107" s="9"/>
      <c r="C107" s="9"/>
      <c r="D107" s="9"/>
      <c r="E107" s="9"/>
      <c r="F107" s="9"/>
      <c r="G107" s="9"/>
      <c r="H107" s="9"/>
      <c r="I107" s="9"/>
      <c r="J107" s="9"/>
      <c r="K107" s="9"/>
      <c r="L107" s="14"/>
      <c r="M107" s="9"/>
      <c r="N107" s="9"/>
      <c r="O107" s="9"/>
      <c r="P107" s="9"/>
      <c r="Q107" s="9"/>
      <c r="R107" s="9"/>
    </row>
    <row r="108" spans="1:18" x14ac:dyDescent="0.25">
      <c r="A108" s="13"/>
      <c r="B108" s="9"/>
      <c r="C108" s="9"/>
      <c r="D108" s="9"/>
      <c r="E108" s="9"/>
      <c r="F108" s="9"/>
      <c r="G108" s="9"/>
      <c r="H108" s="9"/>
      <c r="I108" s="9"/>
      <c r="J108" s="9"/>
      <c r="K108" s="9"/>
      <c r="L108" s="14"/>
      <c r="M108" s="9"/>
      <c r="N108" s="9"/>
      <c r="O108" s="9"/>
      <c r="P108" s="9"/>
      <c r="Q108" s="9"/>
      <c r="R108" s="9"/>
    </row>
    <row r="109" spans="1:18" ht="15.75" thickBot="1" x14ac:dyDescent="0.3">
      <c r="A109" s="15"/>
      <c r="B109" s="16"/>
      <c r="C109" s="16"/>
      <c r="D109" s="16"/>
      <c r="E109" s="16"/>
      <c r="F109" s="16"/>
      <c r="G109" s="16"/>
      <c r="H109" s="16"/>
      <c r="I109" s="16"/>
      <c r="J109" s="16"/>
      <c r="K109" s="16"/>
      <c r="L109" s="17"/>
      <c r="M109" s="9"/>
      <c r="N109" s="9"/>
      <c r="O109" s="9"/>
      <c r="P109" s="9"/>
      <c r="Q109" s="9"/>
      <c r="R109" s="9"/>
    </row>
    <row r="110" spans="1:18" x14ac:dyDescent="0.25">
      <c r="A110" s="9"/>
      <c r="B110" s="9"/>
      <c r="C110" s="9"/>
      <c r="D110" s="9"/>
      <c r="E110" s="9"/>
      <c r="F110" s="9"/>
      <c r="G110" s="9"/>
      <c r="H110" s="9"/>
      <c r="I110" s="9"/>
      <c r="J110" s="9"/>
      <c r="K110" s="9"/>
      <c r="L110" s="9"/>
      <c r="M110" s="9"/>
      <c r="N110" s="9"/>
      <c r="O110" s="9"/>
      <c r="P110" s="9"/>
      <c r="Q110" s="9"/>
      <c r="R110" s="9"/>
    </row>
    <row r="111" spans="1:18" x14ac:dyDescent="0.25">
      <c r="A111" s="9"/>
      <c r="B111" s="9"/>
      <c r="C111" s="9"/>
      <c r="D111" s="9"/>
      <c r="E111" s="9"/>
      <c r="F111" s="9"/>
      <c r="G111" s="9"/>
      <c r="H111" s="9"/>
      <c r="I111" s="9"/>
      <c r="J111" s="9"/>
      <c r="K111" s="9"/>
      <c r="L111" s="9"/>
      <c r="M111" s="9"/>
      <c r="N111" s="9"/>
      <c r="O111" s="9"/>
      <c r="P111" s="9"/>
      <c r="Q111" s="9"/>
      <c r="R111" s="9"/>
    </row>
    <row r="112" spans="1:18" x14ac:dyDescent="0.25">
      <c r="R112" s="9"/>
    </row>
    <row r="113" spans="18:18" x14ac:dyDescent="0.25">
      <c r="R113" s="9"/>
    </row>
    <row r="114" spans="18:18" x14ac:dyDescent="0.25">
      <c r="R114" s="9"/>
    </row>
    <row r="115" spans="18:18" x14ac:dyDescent="0.25">
      <c r="R115" s="9"/>
    </row>
    <row r="116" spans="18:18" x14ac:dyDescent="0.25">
      <c r="R116" s="9"/>
    </row>
    <row r="117" spans="18:18" x14ac:dyDescent="0.25">
      <c r="R117" s="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174"/>
  <sheetViews>
    <sheetView topLeftCell="A57" workbookViewId="0">
      <selection activeCell="A3" sqref="A3:XFD29"/>
    </sheetView>
  </sheetViews>
  <sheetFormatPr defaultColWidth="9.140625" defaultRowHeight="15" x14ac:dyDescent="0.25"/>
  <cols>
    <col min="1" max="1" width="41.42578125" style="9" bestFit="1" customWidth="1"/>
    <col min="2" max="2" width="14" style="9" bestFit="1" customWidth="1"/>
    <col min="3" max="3" width="29.85546875" style="9" bestFit="1" customWidth="1"/>
    <col min="4" max="4" width="9.140625" style="9" bestFit="1" customWidth="1"/>
    <col min="5" max="5" width="6.7109375" style="9" bestFit="1" customWidth="1"/>
    <col min="6" max="6" width="5" style="9" bestFit="1" customWidth="1"/>
    <col min="7" max="8" width="7" style="9" bestFit="1" customWidth="1"/>
    <col min="9" max="10" width="6.7109375" style="9" bestFit="1" customWidth="1"/>
    <col min="11" max="13" width="4.85546875" style="9" bestFit="1" customWidth="1"/>
    <col min="14" max="14" width="4" style="9" bestFit="1" customWidth="1"/>
    <col min="15" max="15" width="17.85546875" style="9" bestFit="1" customWidth="1"/>
    <col min="16" max="16" width="16.28515625" style="9" bestFit="1" customWidth="1"/>
    <col min="17" max="16384" width="9.140625" style="9"/>
  </cols>
  <sheetData>
    <row r="2" spans="1:14" x14ac:dyDescent="0.25">
      <c r="A2" s="21" t="s">
        <v>114</v>
      </c>
      <c r="B2" s="21" t="s">
        <v>84</v>
      </c>
      <c r="C2" s="185"/>
      <c r="D2" s="185"/>
      <c r="E2" s="185"/>
      <c r="F2" s="185"/>
    </row>
    <row r="3" spans="1:14" x14ac:dyDescent="0.25">
      <c r="C3" s="9" t="s">
        <v>109</v>
      </c>
      <c r="D3" s="9" t="s">
        <v>110</v>
      </c>
      <c r="E3" s="9" t="s">
        <v>111</v>
      </c>
      <c r="F3" s="9" t="s">
        <v>108</v>
      </c>
      <c r="G3" s="9" t="s">
        <v>112</v>
      </c>
      <c r="H3" s="9" t="s">
        <v>113</v>
      </c>
    </row>
    <row r="4" spans="1:14" x14ac:dyDescent="0.25">
      <c r="C4" s="9">
        <v>80</v>
      </c>
      <c r="D4" s="9">
        <v>80</v>
      </c>
      <c r="E4" s="9">
        <v>80</v>
      </c>
      <c r="F4" s="9">
        <v>30</v>
      </c>
      <c r="G4" s="9">
        <v>30</v>
      </c>
      <c r="H4" s="9">
        <v>30</v>
      </c>
    </row>
    <row r="7" spans="1:14" x14ac:dyDescent="0.25">
      <c r="A7" s="21" t="s">
        <v>115</v>
      </c>
      <c r="B7" s="21" t="s">
        <v>85</v>
      </c>
    </row>
    <row r="8" spans="1:14" x14ac:dyDescent="0.25">
      <c r="B8" s="21"/>
      <c r="C8" s="23" t="s">
        <v>109</v>
      </c>
      <c r="D8" s="23" t="s">
        <v>110</v>
      </c>
      <c r="E8" s="23" t="s">
        <v>111</v>
      </c>
      <c r="F8" s="23" t="s">
        <v>108</v>
      </c>
      <c r="G8" s="23" t="s">
        <v>112</v>
      </c>
      <c r="H8" s="23" t="s">
        <v>113</v>
      </c>
    </row>
    <row r="9" spans="1:14" x14ac:dyDescent="0.25">
      <c r="C9" s="23">
        <v>150</v>
      </c>
      <c r="D9" s="23">
        <v>150</v>
      </c>
      <c r="E9" s="23">
        <v>150</v>
      </c>
      <c r="F9" s="23">
        <v>60</v>
      </c>
      <c r="G9" s="23">
        <v>60</v>
      </c>
      <c r="H9" s="23">
        <v>60</v>
      </c>
    </row>
    <row r="12" spans="1:14" x14ac:dyDescent="0.25">
      <c r="A12" s="21" t="s">
        <v>116</v>
      </c>
      <c r="B12" s="21" t="s">
        <v>86</v>
      </c>
      <c r="C12" s="9" t="s">
        <v>87</v>
      </c>
    </row>
    <row r="13" spans="1:14" x14ac:dyDescent="0.25">
      <c r="D13" s="21" t="s">
        <v>117</v>
      </c>
      <c r="E13" s="21" t="s">
        <v>118</v>
      </c>
      <c r="F13" s="21" t="s">
        <v>119</v>
      </c>
      <c r="G13" s="21" t="s">
        <v>120</v>
      </c>
      <c r="H13" s="21" t="s">
        <v>121</v>
      </c>
      <c r="I13" s="21" t="s">
        <v>122</v>
      </c>
      <c r="J13" s="21" t="s">
        <v>123</v>
      </c>
      <c r="K13" s="21" t="s">
        <v>124</v>
      </c>
      <c r="L13" s="21" t="s">
        <v>125</v>
      </c>
      <c r="M13" s="21" t="s">
        <v>126</v>
      </c>
      <c r="N13" s="21" t="s">
        <v>127</v>
      </c>
    </row>
    <row r="14" spans="1:14" x14ac:dyDescent="0.25">
      <c r="C14" s="9" t="s">
        <v>128</v>
      </c>
      <c r="D14" s="9">
        <v>10</v>
      </c>
      <c r="E14" s="9">
        <v>16</v>
      </c>
      <c r="F14" s="9">
        <v>12</v>
      </c>
      <c r="G14" s="9">
        <v>13</v>
      </c>
      <c r="H14" s="9">
        <v>14</v>
      </c>
      <c r="I14" s="9">
        <v>0</v>
      </c>
      <c r="J14" s="9">
        <v>0</v>
      </c>
      <c r="K14" s="9">
        <v>0</v>
      </c>
      <c r="L14" s="9">
        <v>0</v>
      </c>
      <c r="M14" s="9">
        <v>0</v>
      </c>
      <c r="N14" s="9">
        <v>0</v>
      </c>
    </row>
    <row r="15" spans="1:14" x14ac:dyDescent="0.25">
      <c r="C15" s="9" t="s">
        <v>129</v>
      </c>
      <c r="D15" s="9">
        <v>8</v>
      </c>
      <c r="E15" s="9">
        <v>11</v>
      </c>
      <c r="F15" s="9">
        <v>11</v>
      </c>
      <c r="G15" s="9">
        <v>11</v>
      </c>
      <c r="H15" s="9">
        <v>12</v>
      </c>
      <c r="I15" s="9">
        <v>0</v>
      </c>
      <c r="J15" s="9">
        <v>0</v>
      </c>
      <c r="K15" s="9">
        <v>0</v>
      </c>
      <c r="L15" s="9">
        <v>0</v>
      </c>
      <c r="M15" s="9">
        <v>0</v>
      </c>
      <c r="N15" s="9">
        <v>0</v>
      </c>
    </row>
    <row r="16" spans="1:14" x14ac:dyDescent="0.25">
      <c r="C16" s="9" t="s">
        <v>130</v>
      </c>
      <c r="D16" s="9">
        <v>12</v>
      </c>
      <c r="E16" s="9">
        <v>14</v>
      </c>
      <c r="F16" s="9">
        <v>13</v>
      </c>
      <c r="G16" s="9">
        <v>12</v>
      </c>
      <c r="H16" s="9">
        <v>8</v>
      </c>
      <c r="I16" s="9">
        <v>0</v>
      </c>
      <c r="J16" s="9">
        <v>0</v>
      </c>
      <c r="K16" s="9">
        <v>0</v>
      </c>
      <c r="L16" s="9">
        <v>0</v>
      </c>
      <c r="M16" s="9">
        <v>0</v>
      </c>
      <c r="N16" s="9">
        <v>0</v>
      </c>
    </row>
    <row r="17" spans="1:14" x14ac:dyDescent="0.25">
      <c r="A17" s="23"/>
      <c r="B17" s="23"/>
      <c r="C17" s="23" t="s">
        <v>131</v>
      </c>
      <c r="D17" s="23">
        <v>0</v>
      </c>
      <c r="E17" s="23">
        <v>0</v>
      </c>
      <c r="F17" s="23">
        <v>0</v>
      </c>
      <c r="G17" s="23">
        <v>0</v>
      </c>
      <c r="H17" s="23">
        <v>0</v>
      </c>
      <c r="I17" s="23">
        <v>12</v>
      </c>
      <c r="J17" s="23">
        <v>0</v>
      </c>
      <c r="K17" s="23">
        <v>0</v>
      </c>
      <c r="L17" s="23">
        <v>0</v>
      </c>
      <c r="M17" s="23">
        <v>0</v>
      </c>
      <c r="N17" s="23">
        <v>0</v>
      </c>
    </row>
    <row r="18" spans="1:14" x14ac:dyDescent="0.25">
      <c r="A18" s="23"/>
      <c r="B18" s="23"/>
      <c r="C18" s="23" t="s">
        <v>132</v>
      </c>
      <c r="D18" s="23">
        <v>0</v>
      </c>
      <c r="E18" s="23">
        <v>0</v>
      </c>
      <c r="F18" s="23">
        <v>0</v>
      </c>
      <c r="G18" s="23">
        <v>0</v>
      </c>
      <c r="H18" s="23">
        <v>0</v>
      </c>
      <c r="I18" s="23">
        <v>11</v>
      </c>
      <c r="J18" s="23">
        <v>0</v>
      </c>
      <c r="K18" s="23">
        <v>0</v>
      </c>
      <c r="L18" s="23">
        <v>0</v>
      </c>
      <c r="M18" s="23">
        <v>0</v>
      </c>
      <c r="N18" s="23">
        <v>0</v>
      </c>
    </row>
    <row r="19" spans="1:14" x14ac:dyDescent="0.25">
      <c r="A19" s="23"/>
      <c r="B19" s="23"/>
      <c r="C19" s="23" t="s">
        <v>133</v>
      </c>
      <c r="D19" s="23">
        <v>0</v>
      </c>
      <c r="E19" s="23">
        <v>0</v>
      </c>
      <c r="F19" s="23">
        <v>0</v>
      </c>
      <c r="G19" s="23">
        <v>0</v>
      </c>
      <c r="H19" s="23">
        <v>0</v>
      </c>
      <c r="I19" s="23">
        <v>0</v>
      </c>
      <c r="J19" s="23">
        <v>9</v>
      </c>
      <c r="K19" s="23">
        <v>0</v>
      </c>
      <c r="L19" s="23">
        <v>0</v>
      </c>
      <c r="M19" s="23">
        <v>0</v>
      </c>
      <c r="N19" s="23">
        <v>0</v>
      </c>
    </row>
    <row r="20" spans="1:14" s="23" customFormat="1" x14ac:dyDescent="0.25">
      <c r="C20" s="23" t="s">
        <v>134</v>
      </c>
      <c r="D20" s="23">
        <v>0</v>
      </c>
      <c r="E20" s="23">
        <v>0</v>
      </c>
      <c r="F20" s="23">
        <v>0</v>
      </c>
      <c r="G20" s="23">
        <v>0</v>
      </c>
      <c r="H20" s="23">
        <v>0</v>
      </c>
      <c r="I20" s="23">
        <v>0</v>
      </c>
      <c r="J20" s="23">
        <v>10</v>
      </c>
      <c r="K20" s="23">
        <v>0</v>
      </c>
      <c r="L20" s="23">
        <v>0</v>
      </c>
      <c r="M20" s="23">
        <v>0</v>
      </c>
      <c r="N20" s="23">
        <v>0</v>
      </c>
    </row>
    <row r="21" spans="1:14" s="23" customFormat="1" x14ac:dyDescent="0.25">
      <c r="C21" s="23" t="s">
        <v>135</v>
      </c>
      <c r="D21" s="23">
        <v>0</v>
      </c>
      <c r="E21" s="23">
        <v>0</v>
      </c>
      <c r="F21" s="23">
        <v>0</v>
      </c>
      <c r="G21" s="23">
        <v>0</v>
      </c>
      <c r="H21" s="23">
        <v>0</v>
      </c>
      <c r="I21" s="23">
        <v>0</v>
      </c>
      <c r="J21" s="23">
        <v>0</v>
      </c>
      <c r="K21" s="23">
        <v>16</v>
      </c>
      <c r="L21" s="23">
        <v>12</v>
      </c>
      <c r="M21" s="23">
        <v>13</v>
      </c>
      <c r="N21" s="23">
        <v>14</v>
      </c>
    </row>
    <row r="22" spans="1:14" s="23" customFormat="1" x14ac:dyDescent="0.25">
      <c r="C22" s="23" t="s">
        <v>136</v>
      </c>
      <c r="D22" s="23">
        <v>0</v>
      </c>
      <c r="E22" s="23">
        <v>0</v>
      </c>
      <c r="F22" s="23">
        <v>0</v>
      </c>
      <c r="G22" s="23">
        <v>0</v>
      </c>
      <c r="H22" s="23">
        <v>0</v>
      </c>
      <c r="I22" s="23">
        <v>0</v>
      </c>
      <c r="J22" s="23">
        <v>0</v>
      </c>
      <c r="K22" s="23">
        <v>11</v>
      </c>
      <c r="L22" s="23">
        <v>11</v>
      </c>
      <c r="M22" s="23">
        <v>11</v>
      </c>
      <c r="N22" s="23">
        <v>12</v>
      </c>
    </row>
    <row r="23" spans="1:14" s="23" customFormat="1" x14ac:dyDescent="0.25">
      <c r="C23" s="23" t="s">
        <v>137</v>
      </c>
      <c r="D23" s="23">
        <v>0</v>
      </c>
      <c r="E23" s="23">
        <v>0</v>
      </c>
      <c r="F23" s="23">
        <v>0</v>
      </c>
      <c r="G23" s="23">
        <v>0</v>
      </c>
      <c r="H23" s="23">
        <v>0</v>
      </c>
      <c r="I23" s="23">
        <v>0</v>
      </c>
      <c r="J23" s="23">
        <v>0</v>
      </c>
      <c r="K23" s="23">
        <v>14</v>
      </c>
      <c r="L23" s="23">
        <v>13</v>
      </c>
      <c r="M23" s="23">
        <v>12</v>
      </c>
      <c r="N23" s="23">
        <v>8</v>
      </c>
    </row>
    <row r="24" spans="1:14" x14ac:dyDescent="0.25">
      <c r="K24" s="23"/>
      <c r="L24" s="23"/>
      <c r="M24" s="23"/>
      <c r="N24" s="23"/>
    </row>
    <row r="25" spans="1:14" x14ac:dyDescent="0.25">
      <c r="B25" s="21" t="s">
        <v>88</v>
      </c>
      <c r="C25" s="9" t="s">
        <v>89</v>
      </c>
      <c r="K25" s="23"/>
      <c r="L25" s="23"/>
      <c r="M25" s="23"/>
      <c r="N25" s="23"/>
    </row>
    <row r="26" spans="1:14" s="23" customFormat="1" x14ac:dyDescent="0.25">
      <c r="D26" s="23" t="s">
        <v>117</v>
      </c>
      <c r="E26" s="23" t="s">
        <v>118</v>
      </c>
      <c r="F26" s="23" t="s">
        <v>119</v>
      </c>
      <c r="G26" s="23" t="s">
        <v>120</v>
      </c>
      <c r="H26" s="23" t="s">
        <v>121</v>
      </c>
      <c r="I26" s="23" t="s">
        <v>122</v>
      </c>
      <c r="J26" s="23" t="s">
        <v>123</v>
      </c>
      <c r="K26" s="23" t="s">
        <v>124</v>
      </c>
      <c r="L26" s="23" t="s">
        <v>125</v>
      </c>
      <c r="M26" s="23" t="s">
        <v>126</v>
      </c>
      <c r="N26" s="23" t="s">
        <v>127</v>
      </c>
    </row>
    <row r="27" spans="1:14" s="23" customFormat="1" x14ac:dyDescent="0.25">
      <c r="C27" s="23" t="s">
        <v>128</v>
      </c>
      <c r="D27" s="23">
        <v>2</v>
      </c>
      <c r="E27" s="23">
        <v>2</v>
      </c>
      <c r="F27" s="23">
        <v>2</v>
      </c>
      <c r="G27" s="23">
        <v>2</v>
      </c>
      <c r="H27" s="23">
        <v>3</v>
      </c>
      <c r="I27" s="23">
        <v>0</v>
      </c>
      <c r="J27" s="23">
        <v>0</v>
      </c>
      <c r="K27" s="23">
        <v>0</v>
      </c>
      <c r="L27" s="23">
        <v>0</v>
      </c>
      <c r="M27" s="23">
        <v>0</v>
      </c>
      <c r="N27" s="23">
        <v>0</v>
      </c>
    </row>
    <row r="28" spans="1:14" s="23" customFormat="1" x14ac:dyDescent="0.25">
      <c r="C28" s="23" t="s">
        <v>129</v>
      </c>
      <c r="D28" s="23">
        <v>2</v>
      </c>
      <c r="E28" s="23">
        <v>2</v>
      </c>
      <c r="F28" s="23">
        <v>2</v>
      </c>
      <c r="G28" s="23">
        <v>2</v>
      </c>
      <c r="H28" s="23">
        <v>3</v>
      </c>
      <c r="I28" s="23">
        <v>0</v>
      </c>
      <c r="J28" s="23">
        <v>0</v>
      </c>
      <c r="K28" s="23">
        <v>0</v>
      </c>
      <c r="L28" s="23">
        <v>0</v>
      </c>
      <c r="M28" s="23">
        <v>0</v>
      </c>
      <c r="N28" s="23">
        <v>0</v>
      </c>
    </row>
    <row r="29" spans="1:14" s="23" customFormat="1" x14ac:dyDescent="0.25">
      <c r="C29" s="23" t="s">
        <v>130</v>
      </c>
      <c r="D29" s="23">
        <f>D28+1</f>
        <v>3</v>
      </c>
      <c r="E29" s="23">
        <f t="shared" ref="E29:H29" si="0">E28+1</f>
        <v>3</v>
      </c>
      <c r="F29" s="23">
        <f t="shared" si="0"/>
        <v>3</v>
      </c>
      <c r="G29" s="23">
        <f t="shared" si="0"/>
        <v>3</v>
      </c>
      <c r="H29" s="23">
        <f t="shared" si="0"/>
        <v>4</v>
      </c>
      <c r="I29" s="23">
        <v>0</v>
      </c>
      <c r="J29" s="23">
        <v>0</v>
      </c>
      <c r="K29" s="23">
        <v>0</v>
      </c>
      <c r="L29" s="23">
        <v>0</v>
      </c>
      <c r="M29" s="23">
        <v>0</v>
      </c>
      <c r="N29" s="23">
        <v>0</v>
      </c>
    </row>
    <row r="30" spans="1:14" s="23" customFormat="1" x14ac:dyDescent="0.25">
      <c r="C30" s="23" t="s">
        <v>131</v>
      </c>
      <c r="D30" s="23">
        <v>0</v>
      </c>
      <c r="E30" s="23">
        <v>0</v>
      </c>
      <c r="F30" s="23">
        <v>0</v>
      </c>
      <c r="G30" s="23">
        <v>0</v>
      </c>
      <c r="H30" s="23">
        <v>0</v>
      </c>
      <c r="I30" s="23">
        <v>1</v>
      </c>
      <c r="J30" s="23">
        <v>0</v>
      </c>
      <c r="K30" s="23">
        <v>0</v>
      </c>
      <c r="L30" s="23">
        <v>0</v>
      </c>
      <c r="M30" s="23">
        <v>0</v>
      </c>
      <c r="N30" s="23">
        <v>0</v>
      </c>
    </row>
    <row r="31" spans="1:14" s="23" customFormat="1" x14ac:dyDescent="0.25">
      <c r="C31" s="23" t="s">
        <v>132</v>
      </c>
      <c r="D31" s="23">
        <v>0</v>
      </c>
      <c r="E31" s="23">
        <v>0</v>
      </c>
      <c r="F31" s="23">
        <v>0</v>
      </c>
      <c r="G31" s="23">
        <v>0</v>
      </c>
      <c r="H31" s="23">
        <v>0</v>
      </c>
      <c r="I31" s="23">
        <v>1</v>
      </c>
      <c r="J31" s="23">
        <v>0</v>
      </c>
      <c r="K31" s="23">
        <v>0</v>
      </c>
      <c r="L31" s="23">
        <v>0</v>
      </c>
      <c r="M31" s="23">
        <v>0</v>
      </c>
      <c r="N31" s="23">
        <v>0</v>
      </c>
    </row>
    <row r="32" spans="1:14" s="23" customFormat="1" x14ac:dyDescent="0.25">
      <c r="C32" s="23" t="s">
        <v>133</v>
      </c>
      <c r="D32" s="23">
        <v>0</v>
      </c>
      <c r="E32" s="23">
        <v>0</v>
      </c>
      <c r="F32" s="23">
        <v>0</v>
      </c>
      <c r="G32" s="23">
        <v>0</v>
      </c>
      <c r="H32" s="23">
        <v>0</v>
      </c>
      <c r="I32" s="23">
        <v>0</v>
      </c>
      <c r="J32" s="23">
        <v>2</v>
      </c>
      <c r="K32" s="23">
        <v>0</v>
      </c>
      <c r="L32" s="23">
        <v>0</v>
      </c>
      <c r="M32" s="23">
        <v>0</v>
      </c>
      <c r="N32" s="23">
        <v>0</v>
      </c>
    </row>
    <row r="33" spans="1:14" s="23" customFormat="1" x14ac:dyDescent="0.25">
      <c r="C33" s="23" t="s">
        <v>134</v>
      </c>
      <c r="D33" s="23">
        <v>0</v>
      </c>
      <c r="E33" s="23">
        <v>0</v>
      </c>
      <c r="F33" s="23">
        <v>0</v>
      </c>
      <c r="G33" s="23">
        <v>0</v>
      </c>
      <c r="H33" s="23">
        <v>0</v>
      </c>
      <c r="I33" s="23">
        <v>0</v>
      </c>
      <c r="J33" s="23">
        <v>3</v>
      </c>
      <c r="K33" s="23">
        <v>0</v>
      </c>
      <c r="L33" s="23">
        <v>0</v>
      </c>
      <c r="M33" s="23">
        <v>0</v>
      </c>
      <c r="N33" s="23">
        <v>0</v>
      </c>
    </row>
    <row r="34" spans="1:14" s="23" customFormat="1" x14ac:dyDescent="0.25">
      <c r="C34" s="23" t="s">
        <v>135</v>
      </c>
      <c r="D34" s="23">
        <v>0</v>
      </c>
      <c r="E34" s="23">
        <v>0</v>
      </c>
      <c r="F34" s="23">
        <v>0</v>
      </c>
      <c r="G34" s="23">
        <v>0</v>
      </c>
      <c r="H34" s="23">
        <v>0</v>
      </c>
      <c r="I34" s="23">
        <v>0</v>
      </c>
      <c r="J34" s="23">
        <v>0</v>
      </c>
      <c r="K34" s="23">
        <v>1</v>
      </c>
      <c r="L34" s="23">
        <v>1</v>
      </c>
      <c r="M34" s="23">
        <v>2</v>
      </c>
      <c r="N34" s="23">
        <v>2</v>
      </c>
    </row>
    <row r="35" spans="1:14" s="23" customFormat="1" x14ac:dyDescent="0.25">
      <c r="C35" s="23" t="s">
        <v>136</v>
      </c>
      <c r="D35" s="23">
        <v>0</v>
      </c>
      <c r="E35" s="23">
        <v>0</v>
      </c>
      <c r="F35" s="23">
        <v>0</v>
      </c>
      <c r="G35" s="23">
        <v>0</v>
      </c>
      <c r="H35" s="23">
        <v>0</v>
      </c>
      <c r="I35" s="23">
        <v>0</v>
      </c>
      <c r="J35" s="23">
        <v>0</v>
      </c>
      <c r="K35" s="23">
        <v>1</v>
      </c>
      <c r="L35" s="23">
        <v>1</v>
      </c>
      <c r="M35" s="23">
        <v>3</v>
      </c>
      <c r="N35" s="23">
        <v>3</v>
      </c>
    </row>
    <row r="36" spans="1:14" s="23" customFormat="1" x14ac:dyDescent="0.25">
      <c r="C36" s="23" t="s">
        <v>137</v>
      </c>
      <c r="D36" s="23">
        <v>0</v>
      </c>
      <c r="E36" s="23">
        <v>0</v>
      </c>
      <c r="F36" s="23">
        <v>0</v>
      </c>
      <c r="G36" s="23">
        <v>0</v>
      </c>
      <c r="H36" s="23">
        <v>0</v>
      </c>
      <c r="I36" s="23">
        <v>0</v>
      </c>
      <c r="J36" s="23">
        <v>0</v>
      </c>
      <c r="K36" s="23">
        <v>2</v>
      </c>
      <c r="L36" s="23">
        <v>2</v>
      </c>
      <c r="M36" s="23">
        <v>2</v>
      </c>
      <c r="N36" s="23">
        <v>2</v>
      </c>
    </row>
    <row r="37" spans="1:14" x14ac:dyDescent="0.25">
      <c r="K37" s="23"/>
      <c r="L37" s="23"/>
      <c r="M37" s="23"/>
      <c r="N37" s="23"/>
    </row>
    <row r="42" spans="1:14" x14ac:dyDescent="0.25">
      <c r="B42" s="21" t="s">
        <v>90</v>
      </c>
      <c r="C42" s="9" t="s">
        <v>91</v>
      </c>
    </row>
    <row r="43" spans="1:14" x14ac:dyDescent="0.25">
      <c r="C43" s="9">
        <v>1</v>
      </c>
      <c r="D43" s="9">
        <v>2</v>
      </c>
      <c r="E43" s="9">
        <v>3</v>
      </c>
      <c r="F43" s="9">
        <v>4</v>
      </c>
      <c r="G43" s="9">
        <v>5</v>
      </c>
      <c r="H43" s="9">
        <v>6</v>
      </c>
    </row>
    <row r="44" spans="1:14" x14ac:dyDescent="0.25">
      <c r="C44" s="9">
        <v>7</v>
      </c>
      <c r="D44" s="9">
        <v>7</v>
      </c>
      <c r="E44" s="9">
        <v>7</v>
      </c>
      <c r="F44" s="9">
        <v>7</v>
      </c>
      <c r="G44" s="9">
        <v>7</v>
      </c>
      <c r="H44" s="9">
        <v>7</v>
      </c>
    </row>
    <row r="47" spans="1:14" x14ac:dyDescent="0.25">
      <c r="B47" s="21" t="s">
        <v>92</v>
      </c>
      <c r="C47" s="9" t="s">
        <v>93</v>
      </c>
    </row>
    <row r="48" spans="1:14" s="22" customFormat="1" x14ac:dyDescent="0.25">
      <c r="A48" s="9"/>
      <c r="B48" s="9"/>
      <c r="C48" s="9"/>
      <c r="D48" s="9">
        <v>1</v>
      </c>
      <c r="E48" s="9">
        <v>2</v>
      </c>
      <c r="F48" s="9">
        <v>3</v>
      </c>
      <c r="G48" s="9">
        <v>4</v>
      </c>
      <c r="H48" s="9">
        <v>5</v>
      </c>
      <c r="I48" s="9">
        <v>6</v>
      </c>
      <c r="J48" s="9"/>
      <c r="K48" s="9"/>
      <c r="L48" s="9"/>
    </row>
    <row r="49" spans="1:12" x14ac:dyDescent="0.25">
      <c r="C49" s="23" t="s">
        <v>117</v>
      </c>
      <c r="D49" s="9">
        <v>1</v>
      </c>
      <c r="E49" s="9">
        <v>1</v>
      </c>
      <c r="F49" s="9">
        <v>1</v>
      </c>
      <c r="G49" s="9">
        <v>0</v>
      </c>
      <c r="H49" s="9">
        <v>1</v>
      </c>
      <c r="I49" s="9">
        <v>1</v>
      </c>
    </row>
    <row r="50" spans="1:12" x14ac:dyDescent="0.25">
      <c r="C50" s="23" t="s">
        <v>118</v>
      </c>
      <c r="D50" s="9">
        <v>1</v>
      </c>
      <c r="E50" s="9">
        <v>1</v>
      </c>
      <c r="F50" s="9">
        <v>1</v>
      </c>
      <c r="G50" s="9">
        <v>1</v>
      </c>
      <c r="H50" s="9">
        <v>1</v>
      </c>
      <c r="I50" s="9">
        <v>1</v>
      </c>
    </row>
    <row r="51" spans="1:12" s="23" customFormat="1" x14ac:dyDescent="0.25">
      <c r="C51" s="23" t="s">
        <v>119</v>
      </c>
      <c r="D51" s="23">
        <v>1</v>
      </c>
      <c r="E51" s="23">
        <v>1</v>
      </c>
      <c r="F51" s="23">
        <v>1</v>
      </c>
      <c r="G51" s="23">
        <v>1</v>
      </c>
      <c r="H51" s="23">
        <v>1</v>
      </c>
      <c r="I51" s="23">
        <v>1</v>
      </c>
    </row>
    <row r="52" spans="1:12" s="23" customFormat="1" x14ac:dyDescent="0.25">
      <c r="C52" s="23" t="s">
        <v>120</v>
      </c>
      <c r="D52" s="23">
        <v>1</v>
      </c>
      <c r="E52" s="23">
        <v>1</v>
      </c>
      <c r="F52" s="23">
        <v>1</v>
      </c>
      <c r="G52" s="23">
        <v>1</v>
      </c>
      <c r="H52" s="23">
        <v>1</v>
      </c>
      <c r="I52" s="23">
        <v>1</v>
      </c>
    </row>
    <row r="53" spans="1:12" s="23" customFormat="1" x14ac:dyDescent="0.25">
      <c r="C53" s="23" t="s">
        <v>121</v>
      </c>
      <c r="D53" s="23">
        <v>1</v>
      </c>
      <c r="E53" s="23">
        <v>1</v>
      </c>
      <c r="F53" s="23">
        <v>1</v>
      </c>
      <c r="G53" s="23">
        <v>1</v>
      </c>
      <c r="H53" s="23">
        <v>1</v>
      </c>
      <c r="I53" s="23">
        <v>1</v>
      </c>
    </row>
    <row r="54" spans="1:12" s="23" customFormat="1" x14ac:dyDescent="0.25">
      <c r="C54" s="23" t="s">
        <v>122</v>
      </c>
      <c r="D54" s="23">
        <v>1</v>
      </c>
      <c r="E54" s="23">
        <v>1</v>
      </c>
      <c r="F54" s="23">
        <v>1</v>
      </c>
      <c r="G54" s="23">
        <v>1</v>
      </c>
      <c r="H54" s="23">
        <v>1</v>
      </c>
      <c r="I54" s="23">
        <v>1</v>
      </c>
    </row>
    <row r="55" spans="1:12" s="23" customFormat="1" x14ac:dyDescent="0.25">
      <c r="C55" s="23" t="s">
        <v>123</v>
      </c>
      <c r="D55" s="23">
        <v>1</v>
      </c>
      <c r="E55" s="23">
        <v>1</v>
      </c>
      <c r="F55" s="23">
        <v>1</v>
      </c>
      <c r="G55" s="23">
        <v>1</v>
      </c>
      <c r="H55" s="23">
        <v>1</v>
      </c>
      <c r="I55" s="23">
        <v>1</v>
      </c>
    </row>
    <row r="56" spans="1:12" s="23" customFormat="1" x14ac:dyDescent="0.25">
      <c r="C56" s="23" t="s">
        <v>124</v>
      </c>
      <c r="D56" s="23">
        <v>1</v>
      </c>
      <c r="E56" s="23">
        <v>1</v>
      </c>
      <c r="F56" s="23">
        <v>1</v>
      </c>
      <c r="G56" s="23">
        <v>1</v>
      </c>
      <c r="H56" s="23">
        <v>1</v>
      </c>
      <c r="I56" s="23">
        <v>1</v>
      </c>
    </row>
    <row r="57" spans="1:12" s="23" customFormat="1" x14ac:dyDescent="0.25">
      <c r="C57" s="23" t="s">
        <v>125</v>
      </c>
      <c r="D57" s="23">
        <v>1</v>
      </c>
      <c r="E57" s="23">
        <v>1</v>
      </c>
      <c r="F57" s="23">
        <v>1</v>
      </c>
      <c r="G57" s="23">
        <v>1</v>
      </c>
      <c r="H57" s="23">
        <v>1</v>
      </c>
      <c r="I57" s="23">
        <v>1</v>
      </c>
    </row>
    <row r="58" spans="1:12" s="23" customFormat="1" x14ac:dyDescent="0.25">
      <c r="C58" s="23" t="s">
        <v>126</v>
      </c>
      <c r="D58" s="23">
        <v>1</v>
      </c>
      <c r="E58" s="23">
        <v>1</v>
      </c>
      <c r="F58" s="23">
        <v>1</v>
      </c>
      <c r="G58" s="23">
        <v>1</v>
      </c>
      <c r="H58" s="23">
        <v>1</v>
      </c>
      <c r="I58" s="23">
        <v>1</v>
      </c>
    </row>
    <row r="59" spans="1:12" s="23" customFormat="1" x14ac:dyDescent="0.25">
      <c r="C59" s="23" t="s">
        <v>127</v>
      </c>
      <c r="D59" s="23">
        <v>1</v>
      </c>
      <c r="E59" s="23">
        <v>1</v>
      </c>
      <c r="F59" s="23">
        <v>1</v>
      </c>
      <c r="G59" s="23">
        <v>1</v>
      </c>
      <c r="H59" s="23">
        <v>1</v>
      </c>
      <c r="I59" s="23">
        <v>1</v>
      </c>
    </row>
    <row r="60" spans="1:12" s="23" customFormat="1" x14ac:dyDescent="0.25"/>
    <row r="61" spans="1:12" x14ac:dyDescent="0.25">
      <c r="A61" s="22"/>
      <c r="B61" s="22"/>
      <c r="C61" s="22"/>
      <c r="D61" s="22"/>
      <c r="E61" s="22"/>
      <c r="F61" s="22"/>
      <c r="G61" s="22"/>
      <c r="H61" s="22"/>
      <c r="I61" s="22"/>
      <c r="J61" s="22"/>
      <c r="K61" s="22"/>
      <c r="L61" s="22"/>
    </row>
    <row r="63" spans="1:12" s="22" customFormat="1" x14ac:dyDescent="0.25">
      <c r="A63" s="9"/>
      <c r="B63" s="21" t="s">
        <v>94</v>
      </c>
      <c r="C63" s="9" t="s">
        <v>138</v>
      </c>
      <c r="D63" s="9"/>
      <c r="E63" s="9"/>
      <c r="F63" s="9"/>
      <c r="G63" s="9"/>
      <c r="H63" s="9"/>
      <c r="I63" s="9"/>
      <c r="J63" s="9"/>
      <c r="K63" s="9"/>
      <c r="L63" s="9"/>
    </row>
    <row r="64" spans="1:12" x14ac:dyDescent="0.25">
      <c r="D64" s="23" t="s">
        <v>109</v>
      </c>
      <c r="E64" s="23" t="s">
        <v>110</v>
      </c>
      <c r="F64" s="23" t="s">
        <v>111</v>
      </c>
      <c r="G64" s="23" t="s">
        <v>108</v>
      </c>
      <c r="H64" s="23" t="s">
        <v>112</v>
      </c>
      <c r="I64" s="23" t="s">
        <v>113</v>
      </c>
    </row>
    <row r="65" spans="1:13" x14ac:dyDescent="0.25">
      <c r="C65" s="7" t="s">
        <v>70</v>
      </c>
      <c r="D65" s="9">
        <v>0.9</v>
      </c>
      <c r="E65" s="23">
        <v>0.9</v>
      </c>
      <c r="F65" s="23">
        <v>0.9</v>
      </c>
      <c r="G65" s="9">
        <v>-1</v>
      </c>
      <c r="H65" s="9">
        <v>-1</v>
      </c>
      <c r="I65" s="9">
        <v>-1</v>
      </c>
    </row>
    <row r="66" spans="1:13" x14ac:dyDescent="0.25">
      <c r="A66" s="22"/>
      <c r="B66" s="22"/>
      <c r="C66" s="7" t="s">
        <v>71</v>
      </c>
      <c r="D66" s="9">
        <v>0.1</v>
      </c>
      <c r="E66" s="23">
        <v>0.1</v>
      </c>
      <c r="F66" s="23">
        <v>0.1</v>
      </c>
      <c r="G66" s="22">
        <v>0</v>
      </c>
      <c r="H66" s="22">
        <v>0</v>
      </c>
      <c r="I66" s="22">
        <v>0</v>
      </c>
      <c r="J66" s="22"/>
      <c r="K66" s="22"/>
      <c r="L66" s="22"/>
    </row>
    <row r="67" spans="1:13" s="23" customFormat="1" x14ac:dyDescent="0.25">
      <c r="C67" s="7" t="s">
        <v>139</v>
      </c>
      <c r="D67" s="23">
        <v>0</v>
      </c>
      <c r="E67" s="23">
        <v>0</v>
      </c>
      <c r="F67" s="23">
        <v>0</v>
      </c>
      <c r="G67" s="23">
        <v>0.85</v>
      </c>
      <c r="H67" s="23">
        <v>0.85</v>
      </c>
      <c r="I67" s="23">
        <v>0.85</v>
      </c>
    </row>
    <row r="70" spans="1:13" x14ac:dyDescent="0.25">
      <c r="B70" s="21" t="s">
        <v>95</v>
      </c>
      <c r="C70" s="9" t="s">
        <v>96</v>
      </c>
    </row>
    <row r="71" spans="1:13" x14ac:dyDescent="0.25">
      <c r="D71" s="23" t="s">
        <v>128</v>
      </c>
      <c r="E71" s="23" t="s">
        <v>129</v>
      </c>
      <c r="F71" s="23" t="s">
        <v>130</v>
      </c>
      <c r="G71" s="23" t="s">
        <v>131</v>
      </c>
      <c r="H71" s="23" t="s">
        <v>132</v>
      </c>
      <c r="I71" s="23" t="s">
        <v>133</v>
      </c>
      <c r="J71" s="23" t="s">
        <v>134</v>
      </c>
      <c r="K71" s="23" t="s">
        <v>135</v>
      </c>
      <c r="L71" s="23" t="s">
        <v>136</v>
      </c>
      <c r="M71" s="23" t="s">
        <v>137</v>
      </c>
    </row>
    <row r="72" spans="1:13" x14ac:dyDescent="0.25">
      <c r="C72" s="7" t="s">
        <v>70</v>
      </c>
      <c r="D72" s="9">
        <v>1</v>
      </c>
      <c r="E72" s="9">
        <v>1</v>
      </c>
      <c r="F72" s="9">
        <v>0.8</v>
      </c>
      <c r="G72" s="9">
        <v>1</v>
      </c>
      <c r="H72" s="9">
        <v>1</v>
      </c>
      <c r="I72" s="9">
        <v>1</v>
      </c>
      <c r="J72" s="9">
        <v>1</v>
      </c>
      <c r="K72" s="9">
        <v>0.1</v>
      </c>
      <c r="L72" s="9">
        <v>0</v>
      </c>
      <c r="M72" s="9">
        <v>0.1</v>
      </c>
    </row>
    <row r="73" spans="1:13" x14ac:dyDescent="0.25">
      <c r="C73" s="7" t="s">
        <v>71</v>
      </c>
      <c r="D73" s="9">
        <v>0</v>
      </c>
      <c r="E73" s="9">
        <v>0</v>
      </c>
      <c r="F73" s="9">
        <v>0</v>
      </c>
      <c r="G73" s="9">
        <v>0</v>
      </c>
      <c r="H73" s="9">
        <v>0</v>
      </c>
      <c r="I73" s="9">
        <v>0</v>
      </c>
      <c r="J73" s="9">
        <v>0</v>
      </c>
      <c r="K73" s="9">
        <v>0.9</v>
      </c>
      <c r="L73" s="9">
        <v>1</v>
      </c>
      <c r="M73" s="9">
        <v>0.9</v>
      </c>
    </row>
    <row r="74" spans="1:13" x14ac:dyDescent="0.25">
      <c r="C74" s="7" t="s">
        <v>139</v>
      </c>
      <c r="D74" s="9">
        <v>0</v>
      </c>
      <c r="E74" s="9">
        <v>0</v>
      </c>
      <c r="F74" s="9">
        <v>0.2</v>
      </c>
      <c r="G74" s="9">
        <v>0</v>
      </c>
      <c r="H74" s="9">
        <v>0</v>
      </c>
      <c r="I74" s="9">
        <v>0</v>
      </c>
      <c r="J74" s="9">
        <v>0</v>
      </c>
      <c r="K74" s="9">
        <v>0</v>
      </c>
      <c r="L74" s="9">
        <v>0</v>
      </c>
      <c r="M74" s="9">
        <v>0</v>
      </c>
    </row>
    <row r="76" spans="1:13" x14ac:dyDescent="0.25">
      <c r="B76" s="21" t="s">
        <v>97</v>
      </c>
      <c r="C76" s="9" t="s">
        <v>142</v>
      </c>
    </row>
    <row r="77" spans="1:13" x14ac:dyDescent="0.25">
      <c r="B77" s="21"/>
      <c r="E77" s="9">
        <v>1</v>
      </c>
      <c r="F77" s="9">
        <v>2</v>
      </c>
      <c r="G77" s="9">
        <v>3</v>
      </c>
      <c r="H77" s="9">
        <v>4</v>
      </c>
      <c r="I77" s="9">
        <v>5</v>
      </c>
      <c r="J77" s="9">
        <v>6</v>
      </c>
    </row>
    <row r="78" spans="1:13" x14ac:dyDescent="0.25">
      <c r="B78" s="21"/>
      <c r="C78" s="23" t="s">
        <v>128</v>
      </c>
      <c r="D78" s="9" t="s">
        <v>79</v>
      </c>
      <c r="E78" s="9">
        <v>0</v>
      </c>
      <c r="F78" s="23">
        <v>2</v>
      </c>
      <c r="G78" s="23">
        <v>7</v>
      </c>
      <c r="H78" s="23">
        <v>0</v>
      </c>
      <c r="I78" s="23">
        <v>9</v>
      </c>
      <c r="J78" s="23">
        <v>5</v>
      </c>
    </row>
    <row r="79" spans="1:13" x14ac:dyDescent="0.25">
      <c r="B79" s="21"/>
      <c r="C79" s="23" t="s">
        <v>129</v>
      </c>
      <c r="D79" s="9" t="s">
        <v>79</v>
      </c>
      <c r="E79" s="23">
        <v>4</v>
      </c>
      <c r="F79" s="23">
        <v>3</v>
      </c>
      <c r="G79" s="23">
        <v>4</v>
      </c>
      <c r="H79" s="23">
        <v>4</v>
      </c>
      <c r="I79" s="23">
        <v>9</v>
      </c>
      <c r="J79" s="23">
        <v>7</v>
      </c>
    </row>
    <row r="80" spans="1:13" s="23" customFormat="1" x14ac:dyDescent="0.25">
      <c r="B80" s="21"/>
      <c r="C80" s="23" t="s">
        <v>130</v>
      </c>
      <c r="D80" s="23" t="s">
        <v>79</v>
      </c>
      <c r="E80" s="23">
        <v>5</v>
      </c>
      <c r="F80" s="23">
        <v>0</v>
      </c>
      <c r="G80" s="23">
        <v>1</v>
      </c>
      <c r="H80" s="23">
        <v>2</v>
      </c>
      <c r="I80" s="23">
        <v>7</v>
      </c>
      <c r="J80" s="23">
        <v>2</v>
      </c>
    </row>
    <row r="81" spans="2:10" s="23" customFormat="1" x14ac:dyDescent="0.25">
      <c r="B81" s="21"/>
      <c r="C81" s="23" t="s">
        <v>131</v>
      </c>
      <c r="D81" s="23" t="s">
        <v>79</v>
      </c>
      <c r="E81" s="23">
        <v>8</v>
      </c>
      <c r="F81" s="23">
        <v>3</v>
      </c>
      <c r="G81" s="23">
        <v>4</v>
      </c>
      <c r="H81" s="23">
        <v>8</v>
      </c>
      <c r="I81" s="23">
        <v>6</v>
      </c>
      <c r="J81" s="23">
        <v>3</v>
      </c>
    </row>
    <row r="82" spans="2:10" s="23" customFormat="1" x14ac:dyDescent="0.25">
      <c r="B82" s="21"/>
      <c r="C82" s="23" t="s">
        <v>132</v>
      </c>
      <c r="D82" s="23" t="s">
        <v>79</v>
      </c>
      <c r="E82" s="23">
        <v>9</v>
      </c>
      <c r="F82" s="23">
        <v>6</v>
      </c>
      <c r="G82" s="23">
        <v>8</v>
      </c>
      <c r="H82" s="23">
        <v>7</v>
      </c>
      <c r="I82" s="23">
        <v>9</v>
      </c>
      <c r="J82" s="23">
        <v>6</v>
      </c>
    </row>
    <row r="83" spans="2:10" s="23" customFormat="1" x14ac:dyDescent="0.25">
      <c r="B83" s="21"/>
      <c r="C83" s="23" t="s">
        <v>133</v>
      </c>
      <c r="D83" s="23" t="s">
        <v>79</v>
      </c>
      <c r="E83" s="23">
        <v>5</v>
      </c>
      <c r="F83" s="23">
        <v>5</v>
      </c>
      <c r="G83" s="23">
        <v>7</v>
      </c>
      <c r="H83" s="23">
        <v>0</v>
      </c>
      <c r="I83" s="23">
        <v>8</v>
      </c>
      <c r="J83" s="23">
        <v>0</v>
      </c>
    </row>
    <row r="84" spans="2:10" s="23" customFormat="1" x14ac:dyDescent="0.25">
      <c r="B84" s="21"/>
      <c r="C84" s="23" t="s">
        <v>134</v>
      </c>
      <c r="D84" s="23" t="s">
        <v>79</v>
      </c>
      <c r="E84" s="23">
        <v>4</v>
      </c>
      <c r="F84" s="23">
        <v>9</v>
      </c>
      <c r="G84" s="23">
        <v>3</v>
      </c>
      <c r="H84" s="23">
        <v>8</v>
      </c>
      <c r="I84" s="23">
        <v>7</v>
      </c>
      <c r="J84" s="23">
        <v>5</v>
      </c>
    </row>
    <row r="85" spans="2:10" s="23" customFormat="1" x14ac:dyDescent="0.25">
      <c r="B85" s="21"/>
      <c r="C85" s="23" t="s">
        <v>135</v>
      </c>
      <c r="D85" s="23" t="s">
        <v>79</v>
      </c>
      <c r="E85" s="23">
        <v>5</v>
      </c>
      <c r="F85" s="23">
        <v>6</v>
      </c>
      <c r="G85" s="23">
        <v>2</v>
      </c>
      <c r="H85" s="23">
        <v>3</v>
      </c>
      <c r="I85" s="23">
        <v>2</v>
      </c>
      <c r="J85" s="23">
        <v>7</v>
      </c>
    </row>
    <row r="86" spans="2:10" s="23" customFormat="1" x14ac:dyDescent="0.25">
      <c r="B86" s="21"/>
      <c r="C86" s="23" t="s">
        <v>136</v>
      </c>
      <c r="D86" s="23" t="s">
        <v>79</v>
      </c>
      <c r="E86" s="23">
        <v>6</v>
      </c>
      <c r="F86" s="23">
        <v>6</v>
      </c>
      <c r="G86" s="23">
        <v>5</v>
      </c>
      <c r="H86" s="23">
        <v>5</v>
      </c>
      <c r="I86" s="23">
        <v>7</v>
      </c>
      <c r="J86" s="23">
        <v>7</v>
      </c>
    </row>
    <row r="87" spans="2:10" x14ac:dyDescent="0.25">
      <c r="B87" s="21"/>
      <c r="C87" s="23" t="s">
        <v>137</v>
      </c>
      <c r="D87" s="23" t="s">
        <v>79</v>
      </c>
      <c r="E87" s="23">
        <v>3</v>
      </c>
      <c r="F87" s="23">
        <v>9</v>
      </c>
      <c r="G87" s="23">
        <v>6</v>
      </c>
      <c r="H87" s="23">
        <v>6</v>
      </c>
      <c r="I87" s="23">
        <v>6</v>
      </c>
      <c r="J87" s="23">
        <v>2</v>
      </c>
    </row>
    <row r="88" spans="2:10" s="23" customFormat="1" x14ac:dyDescent="0.25">
      <c r="B88" s="21"/>
      <c r="C88" s="23" t="s">
        <v>128</v>
      </c>
      <c r="D88" s="23" t="s">
        <v>140</v>
      </c>
      <c r="E88" s="23">
        <v>3</v>
      </c>
      <c r="F88" s="23">
        <v>9</v>
      </c>
      <c r="G88" s="23">
        <v>8</v>
      </c>
      <c r="H88" s="23">
        <v>2</v>
      </c>
      <c r="I88" s="23">
        <v>0</v>
      </c>
      <c r="J88" s="23">
        <v>7</v>
      </c>
    </row>
    <row r="89" spans="2:10" s="23" customFormat="1" x14ac:dyDescent="0.25">
      <c r="B89" s="21"/>
      <c r="C89" s="23" t="s">
        <v>129</v>
      </c>
      <c r="D89" s="23" t="s">
        <v>140</v>
      </c>
      <c r="E89" s="23">
        <v>4</v>
      </c>
      <c r="F89" s="23">
        <v>2</v>
      </c>
      <c r="G89" s="23">
        <v>6</v>
      </c>
      <c r="H89" s="23">
        <v>6</v>
      </c>
      <c r="I89" s="23">
        <v>1</v>
      </c>
      <c r="J89" s="23">
        <v>3</v>
      </c>
    </row>
    <row r="90" spans="2:10" s="23" customFormat="1" x14ac:dyDescent="0.25">
      <c r="B90" s="21"/>
      <c r="C90" s="23" t="s">
        <v>130</v>
      </c>
      <c r="D90" s="23" t="s">
        <v>140</v>
      </c>
      <c r="E90" s="23">
        <v>4</v>
      </c>
      <c r="F90" s="23">
        <v>0</v>
      </c>
      <c r="G90" s="23">
        <v>7</v>
      </c>
      <c r="H90" s="23">
        <v>8</v>
      </c>
      <c r="I90" s="23">
        <v>6</v>
      </c>
      <c r="J90" s="23">
        <v>7</v>
      </c>
    </row>
    <row r="91" spans="2:10" s="23" customFormat="1" x14ac:dyDescent="0.25">
      <c r="B91" s="21"/>
      <c r="C91" s="23" t="s">
        <v>131</v>
      </c>
      <c r="D91" s="23" t="s">
        <v>140</v>
      </c>
      <c r="E91" s="23">
        <v>5</v>
      </c>
      <c r="F91" s="23">
        <v>9</v>
      </c>
      <c r="G91" s="23">
        <v>2</v>
      </c>
      <c r="H91" s="23">
        <v>1</v>
      </c>
      <c r="I91" s="23">
        <v>0</v>
      </c>
      <c r="J91" s="23">
        <v>9</v>
      </c>
    </row>
    <row r="92" spans="2:10" s="23" customFormat="1" x14ac:dyDescent="0.25">
      <c r="B92" s="21"/>
      <c r="C92" s="23" t="s">
        <v>132</v>
      </c>
      <c r="D92" s="23" t="s">
        <v>140</v>
      </c>
      <c r="E92" s="23">
        <v>2</v>
      </c>
      <c r="F92" s="23">
        <v>4</v>
      </c>
      <c r="G92" s="23">
        <v>0</v>
      </c>
      <c r="H92" s="23">
        <v>5</v>
      </c>
      <c r="I92" s="23">
        <v>6</v>
      </c>
      <c r="J92" s="23">
        <v>5</v>
      </c>
    </row>
    <row r="93" spans="2:10" s="23" customFormat="1" x14ac:dyDescent="0.25">
      <c r="B93" s="21"/>
      <c r="C93" s="23" t="s">
        <v>133</v>
      </c>
      <c r="D93" s="23" t="s">
        <v>140</v>
      </c>
      <c r="E93" s="23">
        <v>9</v>
      </c>
      <c r="F93" s="23">
        <v>7</v>
      </c>
      <c r="G93" s="23">
        <v>1</v>
      </c>
      <c r="H93" s="23">
        <v>4</v>
      </c>
      <c r="I93" s="23">
        <v>5</v>
      </c>
      <c r="J93" s="23">
        <v>9</v>
      </c>
    </row>
    <row r="94" spans="2:10" s="23" customFormat="1" x14ac:dyDescent="0.25">
      <c r="B94" s="21"/>
      <c r="C94" s="23" t="s">
        <v>134</v>
      </c>
      <c r="D94" s="23" t="s">
        <v>140</v>
      </c>
      <c r="E94" s="23">
        <v>1</v>
      </c>
      <c r="F94" s="23">
        <v>6</v>
      </c>
      <c r="G94" s="23">
        <v>5</v>
      </c>
      <c r="H94" s="23">
        <v>2</v>
      </c>
      <c r="I94" s="23">
        <v>4</v>
      </c>
      <c r="J94" s="23">
        <v>9</v>
      </c>
    </row>
    <row r="95" spans="2:10" s="23" customFormat="1" x14ac:dyDescent="0.25">
      <c r="B95" s="21"/>
      <c r="C95" s="23" t="s">
        <v>135</v>
      </c>
      <c r="D95" s="23" t="s">
        <v>140</v>
      </c>
      <c r="E95" s="23">
        <v>7</v>
      </c>
      <c r="F95" s="23">
        <v>6</v>
      </c>
      <c r="G95" s="23">
        <v>4</v>
      </c>
      <c r="H95" s="23">
        <v>6</v>
      </c>
      <c r="I95" s="23">
        <v>3</v>
      </c>
      <c r="J95" s="23">
        <v>9</v>
      </c>
    </row>
    <row r="96" spans="2:10" s="23" customFormat="1" x14ac:dyDescent="0.25">
      <c r="B96" s="21"/>
      <c r="C96" s="23" t="s">
        <v>136</v>
      </c>
      <c r="D96" s="23" t="s">
        <v>140</v>
      </c>
      <c r="E96" s="23">
        <v>9</v>
      </c>
      <c r="F96" s="23">
        <v>2</v>
      </c>
      <c r="G96" s="23">
        <v>0</v>
      </c>
      <c r="H96" s="23">
        <v>4</v>
      </c>
      <c r="I96" s="23">
        <v>9</v>
      </c>
      <c r="J96" s="23">
        <v>8</v>
      </c>
    </row>
    <row r="97" spans="2:10" s="23" customFormat="1" x14ac:dyDescent="0.25">
      <c r="B97" s="21"/>
      <c r="C97" s="23" t="s">
        <v>137</v>
      </c>
      <c r="D97" s="23" t="s">
        <v>140</v>
      </c>
      <c r="E97" s="23">
        <v>6</v>
      </c>
      <c r="F97" s="23">
        <v>8</v>
      </c>
      <c r="G97" s="23">
        <v>6</v>
      </c>
      <c r="H97" s="23">
        <v>9</v>
      </c>
      <c r="I97" s="23">
        <v>8</v>
      </c>
      <c r="J97" s="23">
        <v>4</v>
      </c>
    </row>
    <row r="98" spans="2:10" s="23" customFormat="1" x14ac:dyDescent="0.25">
      <c r="B98" s="21"/>
      <c r="C98" s="23" t="s">
        <v>128</v>
      </c>
      <c r="D98" s="23" t="s">
        <v>141</v>
      </c>
      <c r="E98" s="23">
        <v>0</v>
      </c>
      <c r="F98" s="23">
        <v>8</v>
      </c>
      <c r="G98" s="23">
        <v>4</v>
      </c>
      <c r="H98" s="23">
        <v>1</v>
      </c>
      <c r="I98" s="23">
        <v>4</v>
      </c>
      <c r="J98" s="23">
        <v>7</v>
      </c>
    </row>
    <row r="99" spans="2:10" s="23" customFormat="1" x14ac:dyDescent="0.25">
      <c r="B99" s="21"/>
      <c r="C99" s="23" t="s">
        <v>129</v>
      </c>
      <c r="D99" s="23" t="s">
        <v>141</v>
      </c>
      <c r="E99" s="23">
        <v>2</v>
      </c>
      <c r="F99" s="23">
        <v>7</v>
      </c>
      <c r="G99" s="23">
        <v>2</v>
      </c>
      <c r="H99" s="23">
        <v>5</v>
      </c>
      <c r="I99" s="23">
        <v>3</v>
      </c>
      <c r="J99" s="23">
        <v>8</v>
      </c>
    </row>
    <row r="100" spans="2:10" s="23" customFormat="1" x14ac:dyDescent="0.25">
      <c r="B100" s="21"/>
      <c r="C100" s="23" t="s">
        <v>130</v>
      </c>
      <c r="D100" s="23" t="s">
        <v>141</v>
      </c>
      <c r="E100" s="23">
        <v>2</v>
      </c>
      <c r="F100" s="23">
        <v>2</v>
      </c>
      <c r="G100" s="23">
        <v>5</v>
      </c>
      <c r="H100" s="23">
        <v>4</v>
      </c>
      <c r="I100" s="23">
        <v>2</v>
      </c>
      <c r="J100" s="23">
        <v>4</v>
      </c>
    </row>
    <row r="101" spans="2:10" s="23" customFormat="1" x14ac:dyDescent="0.25">
      <c r="B101" s="21"/>
      <c r="C101" s="23" t="s">
        <v>131</v>
      </c>
      <c r="D101" s="23" t="s">
        <v>141</v>
      </c>
      <c r="E101" s="23">
        <v>4</v>
      </c>
      <c r="F101" s="23">
        <v>1</v>
      </c>
      <c r="G101" s="23">
        <v>3</v>
      </c>
      <c r="H101" s="23">
        <v>7</v>
      </c>
      <c r="I101" s="23">
        <v>1</v>
      </c>
      <c r="J101" s="23">
        <v>1</v>
      </c>
    </row>
    <row r="102" spans="2:10" s="23" customFormat="1" x14ac:dyDescent="0.25">
      <c r="B102" s="21"/>
      <c r="C102" s="23" t="s">
        <v>132</v>
      </c>
      <c r="D102" s="23" t="s">
        <v>141</v>
      </c>
      <c r="E102" s="23">
        <v>9</v>
      </c>
      <c r="F102" s="23">
        <v>4</v>
      </c>
      <c r="G102" s="23">
        <v>9</v>
      </c>
      <c r="H102" s="23">
        <v>2</v>
      </c>
      <c r="I102" s="23">
        <v>1</v>
      </c>
      <c r="J102" s="23">
        <v>8</v>
      </c>
    </row>
    <row r="103" spans="2:10" s="23" customFormat="1" x14ac:dyDescent="0.25">
      <c r="B103" s="21"/>
      <c r="C103" s="23" t="s">
        <v>133</v>
      </c>
      <c r="D103" s="23" t="s">
        <v>141</v>
      </c>
      <c r="E103" s="23">
        <v>2</v>
      </c>
      <c r="F103" s="23">
        <v>7</v>
      </c>
      <c r="G103" s="23">
        <v>9</v>
      </c>
      <c r="H103" s="23">
        <v>0</v>
      </c>
      <c r="I103" s="23">
        <v>2</v>
      </c>
      <c r="J103" s="23">
        <v>7</v>
      </c>
    </row>
    <row r="104" spans="2:10" s="23" customFormat="1" x14ac:dyDescent="0.25">
      <c r="B104" s="21"/>
      <c r="C104" s="23" t="s">
        <v>134</v>
      </c>
      <c r="D104" s="23" t="s">
        <v>141</v>
      </c>
      <c r="E104" s="23">
        <v>4</v>
      </c>
      <c r="F104" s="23">
        <v>8</v>
      </c>
      <c r="G104" s="23">
        <v>6</v>
      </c>
      <c r="H104" s="23">
        <v>1</v>
      </c>
      <c r="I104" s="23">
        <v>3</v>
      </c>
      <c r="J104" s="23">
        <v>8</v>
      </c>
    </row>
    <row r="105" spans="2:10" s="23" customFormat="1" x14ac:dyDescent="0.25">
      <c r="B105" s="21"/>
      <c r="C105" s="23" t="s">
        <v>135</v>
      </c>
      <c r="D105" s="23" t="s">
        <v>141</v>
      </c>
      <c r="E105" s="23">
        <v>7</v>
      </c>
      <c r="F105" s="23">
        <v>3</v>
      </c>
      <c r="G105" s="23">
        <v>9</v>
      </c>
      <c r="H105" s="23">
        <v>8</v>
      </c>
      <c r="I105" s="23">
        <v>2</v>
      </c>
      <c r="J105" s="23">
        <v>4</v>
      </c>
    </row>
    <row r="106" spans="2:10" s="23" customFormat="1" x14ac:dyDescent="0.25">
      <c r="B106" s="21"/>
      <c r="C106" s="23" t="s">
        <v>136</v>
      </c>
      <c r="D106" s="23" t="s">
        <v>141</v>
      </c>
      <c r="E106" s="23">
        <v>1</v>
      </c>
      <c r="F106" s="23">
        <v>0</v>
      </c>
      <c r="G106" s="23">
        <v>5</v>
      </c>
      <c r="H106" s="23">
        <v>3</v>
      </c>
      <c r="I106" s="23">
        <v>6</v>
      </c>
      <c r="J106" s="23">
        <v>5</v>
      </c>
    </row>
    <row r="107" spans="2:10" s="23" customFormat="1" x14ac:dyDescent="0.25">
      <c r="B107" s="21"/>
      <c r="C107" s="23" t="s">
        <v>137</v>
      </c>
      <c r="D107" s="23" t="s">
        <v>141</v>
      </c>
      <c r="E107" s="23">
        <v>9</v>
      </c>
      <c r="F107" s="23">
        <v>3</v>
      </c>
      <c r="G107" s="23">
        <v>3</v>
      </c>
      <c r="H107" s="23">
        <v>8</v>
      </c>
      <c r="I107" s="23">
        <v>2</v>
      </c>
      <c r="J107" s="23">
        <v>2</v>
      </c>
    </row>
    <row r="108" spans="2:10" x14ac:dyDescent="0.25">
      <c r="B108" s="21"/>
    </row>
    <row r="109" spans="2:10" x14ac:dyDescent="0.25">
      <c r="B109" s="21" t="s">
        <v>98</v>
      </c>
      <c r="C109" s="9" t="s">
        <v>99</v>
      </c>
    </row>
    <row r="110" spans="2:10" x14ac:dyDescent="0.25">
      <c r="B110" s="21"/>
      <c r="D110" s="9" t="s">
        <v>79</v>
      </c>
      <c r="E110" s="9" t="s">
        <v>140</v>
      </c>
      <c r="F110" s="9" t="s">
        <v>141</v>
      </c>
    </row>
    <row r="111" spans="2:10" s="23" customFormat="1" x14ac:dyDescent="0.25">
      <c r="B111" s="21"/>
      <c r="C111" s="23" t="s">
        <v>128</v>
      </c>
      <c r="D111" s="23">
        <v>1400</v>
      </c>
      <c r="E111" s="23">
        <v>1300</v>
      </c>
      <c r="F111" s="23">
        <v>1200</v>
      </c>
    </row>
    <row r="112" spans="2:10" s="23" customFormat="1" x14ac:dyDescent="0.25">
      <c r="B112" s="21"/>
      <c r="C112" s="23" t="s">
        <v>129</v>
      </c>
      <c r="D112" s="23">
        <v>1400</v>
      </c>
      <c r="E112" s="23">
        <v>1300</v>
      </c>
      <c r="F112" s="23">
        <v>1200</v>
      </c>
    </row>
    <row r="113" spans="2:6" s="23" customFormat="1" x14ac:dyDescent="0.25">
      <c r="B113" s="21"/>
      <c r="C113" s="23" t="s">
        <v>130</v>
      </c>
      <c r="D113" s="23">
        <v>1400</v>
      </c>
      <c r="E113" s="23">
        <v>1300</v>
      </c>
      <c r="F113" s="23">
        <v>1200</v>
      </c>
    </row>
    <row r="114" spans="2:6" s="23" customFormat="1" x14ac:dyDescent="0.25">
      <c r="B114" s="21"/>
      <c r="C114" s="23" t="s">
        <v>131</v>
      </c>
      <c r="D114" s="23">
        <v>1400</v>
      </c>
      <c r="E114" s="23">
        <v>1300</v>
      </c>
      <c r="F114" s="23">
        <v>1200</v>
      </c>
    </row>
    <row r="115" spans="2:6" s="23" customFormat="1" x14ac:dyDescent="0.25">
      <c r="B115" s="21"/>
      <c r="C115" s="23" t="s">
        <v>132</v>
      </c>
      <c r="D115" s="23">
        <v>1400</v>
      </c>
      <c r="E115" s="23">
        <v>1300</v>
      </c>
      <c r="F115" s="23">
        <v>1200</v>
      </c>
    </row>
    <row r="116" spans="2:6" s="23" customFormat="1" x14ac:dyDescent="0.25">
      <c r="B116" s="21"/>
      <c r="C116" s="23" t="s">
        <v>133</v>
      </c>
      <c r="D116" s="23">
        <v>1400</v>
      </c>
      <c r="E116" s="23">
        <v>1300</v>
      </c>
      <c r="F116" s="23">
        <v>1200</v>
      </c>
    </row>
    <row r="117" spans="2:6" s="23" customFormat="1" x14ac:dyDescent="0.25">
      <c r="B117" s="21"/>
      <c r="C117" s="23" t="s">
        <v>134</v>
      </c>
      <c r="D117" s="23">
        <v>1400</v>
      </c>
      <c r="E117" s="23">
        <v>1300</v>
      </c>
      <c r="F117" s="23">
        <v>1200</v>
      </c>
    </row>
    <row r="118" spans="2:6" s="23" customFormat="1" x14ac:dyDescent="0.25">
      <c r="B118" s="21"/>
      <c r="C118" s="23" t="s">
        <v>135</v>
      </c>
      <c r="D118" s="23">
        <v>1400</v>
      </c>
      <c r="E118" s="23">
        <v>1300</v>
      </c>
      <c r="F118" s="23">
        <v>1200</v>
      </c>
    </row>
    <row r="119" spans="2:6" s="23" customFormat="1" x14ac:dyDescent="0.25">
      <c r="B119" s="21"/>
      <c r="C119" s="23" t="s">
        <v>136</v>
      </c>
      <c r="D119" s="23">
        <v>1400</v>
      </c>
      <c r="E119" s="23">
        <v>1300</v>
      </c>
      <c r="F119" s="23">
        <v>1200</v>
      </c>
    </row>
    <row r="120" spans="2:6" s="23" customFormat="1" x14ac:dyDescent="0.25">
      <c r="B120" s="21"/>
      <c r="C120" s="23" t="s">
        <v>137</v>
      </c>
      <c r="D120" s="23">
        <v>1400</v>
      </c>
      <c r="E120" s="23">
        <v>1300</v>
      </c>
      <c r="F120" s="23">
        <v>1200</v>
      </c>
    </row>
    <row r="121" spans="2:6" x14ac:dyDescent="0.25">
      <c r="B121" s="21"/>
      <c r="C121" s="9" t="s">
        <v>72</v>
      </c>
      <c r="D121" s="23">
        <v>1400</v>
      </c>
      <c r="E121" s="23">
        <v>1300</v>
      </c>
      <c r="F121" s="23">
        <v>1200</v>
      </c>
    </row>
    <row r="122" spans="2:6" x14ac:dyDescent="0.25">
      <c r="C122" s="9" t="s">
        <v>73</v>
      </c>
      <c r="D122" s="23">
        <v>1400</v>
      </c>
      <c r="E122" s="23">
        <v>1300</v>
      </c>
      <c r="F122" s="23">
        <v>1200</v>
      </c>
    </row>
    <row r="123" spans="2:6" s="23" customFormat="1" x14ac:dyDescent="0.25"/>
    <row r="126" spans="2:6" x14ac:dyDescent="0.25">
      <c r="B126" s="21" t="s">
        <v>100</v>
      </c>
      <c r="C126" s="9" t="s">
        <v>101</v>
      </c>
    </row>
    <row r="127" spans="2:6" x14ac:dyDescent="0.25">
      <c r="C127" s="9" t="s">
        <v>70</v>
      </c>
      <c r="D127" s="9" t="s">
        <v>71</v>
      </c>
      <c r="E127" s="9" t="s">
        <v>139</v>
      </c>
    </row>
    <row r="128" spans="2:6" x14ac:dyDescent="0.25">
      <c r="C128" s="9">
        <v>1000</v>
      </c>
      <c r="D128" s="9">
        <v>0</v>
      </c>
      <c r="E128" s="9">
        <v>0</v>
      </c>
    </row>
    <row r="131" spans="2:14" x14ac:dyDescent="0.25">
      <c r="B131" s="21" t="s">
        <v>102</v>
      </c>
      <c r="C131" s="9" t="s">
        <v>103</v>
      </c>
    </row>
    <row r="132" spans="2:14" x14ac:dyDescent="0.25">
      <c r="C132" s="9" t="s">
        <v>70</v>
      </c>
      <c r="D132" s="9" t="s">
        <v>71</v>
      </c>
      <c r="E132" s="9" t="s">
        <v>139</v>
      </c>
    </row>
    <row r="133" spans="2:14" x14ac:dyDescent="0.25">
      <c r="C133" s="9">
        <v>1000</v>
      </c>
      <c r="D133" s="9">
        <v>1300</v>
      </c>
      <c r="E133" s="9">
        <v>1500</v>
      </c>
    </row>
    <row r="136" spans="2:14" x14ac:dyDescent="0.25">
      <c r="B136" s="21" t="s">
        <v>104</v>
      </c>
      <c r="C136" s="9" t="s">
        <v>143</v>
      </c>
    </row>
    <row r="137" spans="2:14" x14ac:dyDescent="0.25">
      <c r="C137" s="23" t="s">
        <v>109</v>
      </c>
      <c r="D137" s="23" t="s">
        <v>110</v>
      </c>
      <c r="E137" s="23" t="s">
        <v>111</v>
      </c>
      <c r="F137" s="23" t="s">
        <v>108</v>
      </c>
      <c r="G137" s="23" t="s">
        <v>112</v>
      </c>
      <c r="H137" s="23" t="s">
        <v>113</v>
      </c>
    </row>
    <row r="138" spans="2:14" x14ac:dyDescent="0.25">
      <c r="C138" s="9">
        <v>5</v>
      </c>
      <c r="D138" s="9">
        <v>6</v>
      </c>
      <c r="E138" s="9">
        <v>7</v>
      </c>
      <c r="F138" s="9">
        <v>8</v>
      </c>
      <c r="G138" s="9">
        <v>8</v>
      </c>
      <c r="H138" s="9">
        <v>9</v>
      </c>
    </row>
    <row r="141" spans="2:14" x14ac:dyDescent="0.25">
      <c r="B141" s="21" t="s">
        <v>105</v>
      </c>
      <c r="C141" s="9" t="s">
        <v>106</v>
      </c>
    </row>
    <row r="142" spans="2:14" s="23" customFormat="1" x14ac:dyDescent="0.25">
      <c r="D142" s="23" t="s">
        <v>117</v>
      </c>
      <c r="E142" s="23" t="s">
        <v>118</v>
      </c>
      <c r="F142" s="23" t="s">
        <v>119</v>
      </c>
      <c r="G142" s="23" t="s">
        <v>120</v>
      </c>
      <c r="H142" s="23" t="s">
        <v>121</v>
      </c>
      <c r="I142" s="23" t="s">
        <v>122</v>
      </c>
      <c r="J142" s="23" t="s">
        <v>123</v>
      </c>
      <c r="K142" s="23" t="s">
        <v>124</v>
      </c>
      <c r="L142" s="23" t="s">
        <v>125</v>
      </c>
      <c r="M142" s="23" t="s">
        <v>126</v>
      </c>
      <c r="N142" s="23" t="s">
        <v>127</v>
      </c>
    </row>
    <row r="143" spans="2:14" s="23" customFormat="1" x14ac:dyDescent="0.25">
      <c r="C143" s="23" t="s">
        <v>128</v>
      </c>
      <c r="D143" s="23">
        <v>1</v>
      </c>
      <c r="E143" s="23">
        <v>1</v>
      </c>
      <c r="F143" s="23">
        <v>1</v>
      </c>
      <c r="G143" s="23">
        <v>1</v>
      </c>
      <c r="H143" s="23">
        <v>1</v>
      </c>
      <c r="I143" s="23">
        <v>0</v>
      </c>
      <c r="J143" s="23">
        <v>0</v>
      </c>
      <c r="K143" s="23">
        <v>0</v>
      </c>
      <c r="L143" s="23">
        <v>0</v>
      </c>
      <c r="M143" s="23">
        <v>0</v>
      </c>
      <c r="N143" s="23">
        <v>0</v>
      </c>
    </row>
    <row r="144" spans="2:14" s="23" customFormat="1" x14ac:dyDescent="0.25">
      <c r="C144" s="23" t="s">
        <v>129</v>
      </c>
      <c r="D144" s="23">
        <v>2</v>
      </c>
      <c r="E144" s="23">
        <v>2</v>
      </c>
      <c r="F144" s="23">
        <v>2</v>
      </c>
      <c r="G144" s="23">
        <v>2</v>
      </c>
      <c r="H144" s="23">
        <v>2</v>
      </c>
      <c r="I144" s="23">
        <v>0</v>
      </c>
      <c r="J144" s="23">
        <v>0</v>
      </c>
      <c r="K144" s="23">
        <v>0</v>
      </c>
      <c r="L144" s="23">
        <v>0</v>
      </c>
      <c r="M144" s="23">
        <v>0</v>
      </c>
      <c r="N144" s="23">
        <v>0</v>
      </c>
    </row>
    <row r="145" spans="2:14" s="23" customFormat="1" x14ac:dyDescent="0.25">
      <c r="C145" s="23" t="s">
        <v>130</v>
      </c>
      <c r="D145" s="23">
        <v>2</v>
      </c>
      <c r="E145" s="23">
        <v>2</v>
      </c>
      <c r="F145" s="23">
        <v>2</v>
      </c>
      <c r="G145" s="23">
        <v>2</v>
      </c>
      <c r="H145" s="23">
        <v>2</v>
      </c>
      <c r="I145" s="23">
        <v>0</v>
      </c>
      <c r="J145" s="23">
        <v>0</v>
      </c>
      <c r="K145" s="23">
        <v>0</v>
      </c>
      <c r="L145" s="23">
        <v>0</v>
      </c>
      <c r="M145" s="23">
        <v>0</v>
      </c>
      <c r="N145" s="23">
        <v>0</v>
      </c>
    </row>
    <row r="146" spans="2:14" s="23" customFormat="1" x14ac:dyDescent="0.25">
      <c r="C146" s="23" t="s">
        <v>131</v>
      </c>
      <c r="D146" s="23">
        <v>0</v>
      </c>
      <c r="E146" s="23">
        <v>0</v>
      </c>
      <c r="F146" s="23">
        <v>0</v>
      </c>
      <c r="G146" s="23">
        <v>0</v>
      </c>
      <c r="H146" s="23">
        <v>0</v>
      </c>
      <c r="I146" s="23">
        <v>1</v>
      </c>
      <c r="J146" s="23">
        <v>0</v>
      </c>
      <c r="K146" s="23">
        <v>0</v>
      </c>
      <c r="L146" s="23">
        <v>0</v>
      </c>
      <c r="M146" s="23">
        <v>0</v>
      </c>
      <c r="N146" s="23">
        <v>0</v>
      </c>
    </row>
    <row r="147" spans="2:14" s="23" customFormat="1" x14ac:dyDescent="0.25">
      <c r="C147" s="23" t="s">
        <v>132</v>
      </c>
      <c r="D147" s="23">
        <v>0</v>
      </c>
      <c r="E147" s="23">
        <v>0</v>
      </c>
      <c r="F147" s="23">
        <v>0</v>
      </c>
      <c r="G147" s="23">
        <v>0</v>
      </c>
      <c r="H147" s="23">
        <v>0</v>
      </c>
      <c r="I147" s="23">
        <v>1</v>
      </c>
      <c r="J147" s="23">
        <v>0</v>
      </c>
      <c r="K147" s="23">
        <v>0</v>
      </c>
      <c r="L147" s="23">
        <v>0</v>
      </c>
      <c r="M147" s="23">
        <v>0</v>
      </c>
      <c r="N147" s="23">
        <v>0</v>
      </c>
    </row>
    <row r="148" spans="2:14" s="23" customFormat="1" x14ac:dyDescent="0.25">
      <c r="C148" s="23" t="s">
        <v>133</v>
      </c>
      <c r="D148" s="23">
        <v>0</v>
      </c>
      <c r="E148" s="23">
        <v>0</v>
      </c>
      <c r="F148" s="23">
        <v>0</v>
      </c>
      <c r="G148" s="23">
        <v>0</v>
      </c>
      <c r="H148" s="23">
        <v>0</v>
      </c>
      <c r="I148" s="23">
        <v>0</v>
      </c>
      <c r="J148" s="23">
        <v>1</v>
      </c>
      <c r="K148" s="23">
        <v>0</v>
      </c>
      <c r="L148" s="23">
        <v>0</v>
      </c>
      <c r="M148" s="23">
        <v>0</v>
      </c>
      <c r="N148" s="23">
        <v>0</v>
      </c>
    </row>
    <row r="149" spans="2:14" s="23" customFormat="1" x14ac:dyDescent="0.25">
      <c r="C149" s="23" t="s">
        <v>134</v>
      </c>
      <c r="D149" s="23">
        <v>0</v>
      </c>
      <c r="E149" s="23">
        <v>0</v>
      </c>
      <c r="F149" s="23">
        <v>0</v>
      </c>
      <c r="G149" s="23">
        <v>0</v>
      </c>
      <c r="H149" s="23">
        <v>0</v>
      </c>
      <c r="I149" s="23">
        <v>0</v>
      </c>
      <c r="J149" s="23">
        <v>1</v>
      </c>
      <c r="K149" s="23">
        <v>0</v>
      </c>
      <c r="L149" s="23">
        <v>0</v>
      </c>
      <c r="M149" s="23">
        <v>0</v>
      </c>
      <c r="N149" s="23">
        <v>0</v>
      </c>
    </row>
    <row r="150" spans="2:14" s="23" customFormat="1" x14ac:dyDescent="0.25">
      <c r="C150" s="23" t="s">
        <v>135</v>
      </c>
      <c r="D150" s="23">
        <v>0</v>
      </c>
      <c r="E150" s="23">
        <v>0</v>
      </c>
      <c r="F150" s="23">
        <v>0</v>
      </c>
      <c r="G150" s="23">
        <v>0</v>
      </c>
      <c r="H150" s="23">
        <v>0</v>
      </c>
      <c r="I150" s="23">
        <v>0</v>
      </c>
      <c r="J150" s="23">
        <v>0</v>
      </c>
      <c r="K150" s="23">
        <v>1</v>
      </c>
      <c r="L150" s="23">
        <v>1</v>
      </c>
      <c r="M150" s="23">
        <v>1</v>
      </c>
      <c r="N150" s="23">
        <v>2</v>
      </c>
    </row>
    <row r="151" spans="2:14" s="23" customFormat="1" x14ac:dyDescent="0.25">
      <c r="C151" s="23" t="s">
        <v>136</v>
      </c>
      <c r="D151" s="23">
        <v>0</v>
      </c>
      <c r="E151" s="23">
        <v>0</v>
      </c>
      <c r="F151" s="23">
        <v>0</v>
      </c>
      <c r="G151" s="23">
        <v>0</v>
      </c>
      <c r="H151" s="23">
        <v>0</v>
      </c>
      <c r="I151" s="23">
        <v>0</v>
      </c>
      <c r="J151" s="23">
        <v>0</v>
      </c>
      <c r="K151" s="23">
        <v>1</v>
      </c>
      <c r="L151" s="23">
        <v>1</v>
      </c>
      <c r="M151" s="23">
        <v>1</v>
      </c>
      <c r="N151" s="23">
        <v>2</v>
      </c>
    </row>
    <row r="152" spans="2:14" s="23" customFormat="1" x14ac:dyDescent="0.25">
      <c r="C152" s="23" t="s">
        <v>137</v>
      </c>
      <c r="D152" s="23">
        <v>0</v>
      </c>
      <c r="E152" s="23">
        <v>0</v>
      </c>
      <c r="F152" s="23">
        <v>0</v>
      </c>
      <c r="G152" s="23">
        <v>0</v>
      </c>
      <c r="H152" s="23">
        <v>0</v>
      </c>
      <c r="I152" s="23">
        <v>0</v>
      </c>
      <c r="J152" s="23">
        <v>0</v>
      </c>
      <c r="K152" s="23">
        <v>1</v>
      </c>
      <c r="L152" s="23">
        <v>1</v>
      </c>
      <c r="M152" s="23">
        <v>1</v>
      </c>
      <c r="N152" s="23">
        <v>2</v>
      </c>
    </row>
    <row r="155" spans="2:14" x14ac:dyDescent="0.25">
      <c r="B155" s="21" t="s">
        <v>107</v>
      </c>
      <c r="C155" s="9" t="s">
        <v>144</v>
      </c>
    </row>
    <row r="156" spans="2:14" x14ac:dyDescent="0.25">
      <c r="C156" s="9" t="s">
        <v>145</v>
      </c>
      <c r="D156" s="9" t="s">
        <v>147</v>
      </c>
      <c r="E156" s="9" t="s">
        <v>146</v>
      </c>
    </row>
    <row r="157" spans="2:14" x14ac:dyDescent="0.25">
      <c r="C157" s="9">
        <v>1</v>
      </c>
      <c r="D157" s="9">
        <v>2</v>
      </c>
      <c r="E157" s="9">
        <v>2</v>
      </c>
    </row>
    <row r="159" spans="2:14" x14ac:dyDescent="0.25">
      <c r="B159" s="9" t="s">
        <v>150</v>
      </c>
      <c r="C159" s="9" t="s">
        <v>152</v>
      </c>
    </row>
    <row r="160" spans="2:14" x14ac:dyDescent="0.25">
      <c r="C160" s="23"/>
      <c r="D160" s="23" t="s">
        <v>145</v>
      </c>
      <c r="E160" s="23" t="s">
        <v>147</v>
      </c>
      <c r="F160" s="23" t="s">
        <v>146</v>
      </c>
    </row>
    <row r="161" spans="2:6" x14ac:dyDescent="0.25">
      <c r="C161" s="23" t="s">
        <v>128</v>
      </c>
      <c r="D161" s="23">
        <v>12</v>
      </c>
      <c r="E161" s="23">
        <v>17</v>
      </c>
      <c r="F161" s="23">
        <v>13</v>
      </c>
    </row>
    <row r="162" spans="2:6" x14ac:dyDescent="0.25">
      <c r="C162" s="23" t="s">
        <v>129</v>
      </c>
      <c r="D162" s="23">
        <v>20</v>
      </c>
      <c r="E162" s="23">
        <v>16</v>
      </c>
      <c r="F162" s="23">
        <v>11</v>
      </c>
    </row>
    <row r="163" spans="2:6" x14ac:dyDescent="0.25">
      <c r="C163" s="23" t="s">
        <v>130</v>
      </c>
      <c r="D163" s="23">
        <v>13</v>
      </c>
      <c r="E163" s="23">
        <v>12</v>
      </c>
      <c r="F163" s="23">
        <v>14</v>
      </c>
    </row>
    <row r="164" spans="2:6" x14ac:dyDescent="0.25">
      <c r="C164" s="23" t="s">
        <v>131</v>
      </c>
      <c r="D164" s="23">
        <v>13</v>
      </c>
      <c r="E164" s="23">
        <v>15</v>
      </c>
      <c r="F164" s="23">
        <v>12</v>
      </c>
    </row>
    <row r="165" spans="2:6" x14ac:dyDescent="0.25">
      <c r="C165" s="23" t="s">
        <v>132</v>
      </c>
      <c r="D165" s="23">
        <v>14</v>
      </c>
      <c r="E165" s="23">
        <v>13</v>
      </c>
      <c r="F165" s="23">
        <v>18</v>
      </c>
    </row>
    <row r="166" spans="2:6" x14ac:dyDescent="0.25">
      <c r="C166" s="23" t="s">
        <v>133</v>
      </c>
      <c r="D166" s="23">
        <v>20</v>
      </c>
      <c r="E166" s="23">
        <v>17</v>
      </c>
      <c r="F166" s="23">
        <v>10</v>
      </c>
    </row>
    <row r="167" spans="2:6" x14ac:dyDescent="0.25">
      <c r="C167" s="23" t="s">
        <v>134</v>
      </c>
      <c r="D167" s="23">
        <v>16</v>
      </c>
      <c r="E167" s="23">
        <v>18</v>
      </c>
      <c r="F167" s="23">
        <v>14</v>
      </c>
    </row>
    <row r="168" spans="2:6" x14ac:dyDescent="0.25">
      <c r="C168" s="23" t="s">
        <v>135</v>
      </c>
      <c r="D168" s="23">
        <v>14</v>
      </c>
      <c r="E168" s="23">
        <v>11</v>
      </c>
      <c r="F168" s="23">
        <v>18</v>
      </c>
    </row>
    <row r="169" spans="2:6" x14ac:dyDescent="0.25">
      <c r="C169" s="23" t="s">
        <v>136</v>
      </c>
      <c r="D169" s="23">
        <v>11</v>
      </c>
      <c r="E169" s="23">
        <v>16</v>
      </c>
      <c r="F169" s="23">
        <v>12</v>
      </c>
    </row>
    <row r="170" spans="2:6" x14ac:dyDescent="0.25">
      <c r="C170" s="23" t="s">
        <v>137</v>
      </c>
      <c r="D170" s="23">
        <v>17</v>
      </c>
      <c r="E170" s="23">
        <v>11</v>
      </c>
      <c r="F170" s="23">
        <v>12</v>
      </c>
    </row>
    <row r="172" spans="2:6" x14ac:dyDescent="0.25">
      <c r="B172" s="21" t="s">
        <v>153</v>
      </c>
      <c r="C172" s="23" t="s">
        <v>151</v>
      </c>
      <c r="D172" s="23"/>
      <c r="E172" s="23"/>
    </row>
    <row r="173" spans="2:6" x14ac:dyDescent="0.25">
      <c r="B173" s="23"/>
      <c r="C173" s="23" t="s">
        <v>70</v>
      </c>
      <c r="D173" s="23" t="s">
        <v>71</v>
      </c>
      <c r="E173" s="23" t="s">
        <v>139</v>
      </c>
    </row>
    <row r="174" spans="2:6" x14ac:dyDescent="0.25">
      <c r="B174" s="23"/>
      <c r="C174" s="23">
        <v>500</v>
      </c>
      <c r="D174" s="23">
        <v>50</v>
      </c>
      <c r="E174" s="23">
        <v>50</v>
      </c>
    </row>
  </sheetData>
  <mergeCells count="1">
    <mergeCell ref="C2:F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N55"/>
  <sheetViews>
    <sheetView workbookViewId="0">
      <selection activeCell="A3" sqref="A3:XFD29"/>
    </sheetView>
  </sheetViews>
  <sheetFormatPr defaultColWidth="9.140625" defaultRowHeight="15" x14ac:dyDescent="0.25"/>
  <cols>
    <col min="1" max="1" width="41.42578125" style="24" bestFit="1" customWidth="1"/>
    <col min="2" max="2" width="14" style="24" bestFit="1" customWidth="1"/>
    <col min="3" max="3" width="29.85546875" style="24" bestFit="1" customWidth="1"/>
    <col min="4" max="4" width="9.140625" style="24" bestFit="1" customWidth="1"/>
    <col min="5" max="5" width="6.7109375" style="24" bestFit="1" customWidth="1"/>
    <col min="6" max="6" width="5" style="24" bestFit="1" customWidth="1"/>
    <col min="7" max="8" width="7" style="24" bestFit="1" customWidth="1"/>
    <col min="9" max="10" width="6.7109375" style="24" bestFit="1" customWidth="1"/>
    <col min="11" max="13" width="4.85546875" style="24" bestFit="1" customWidth="1"/>
    <col min="14" max="14" width="4" style="24" bestFit="1" customWidth="1"/>
    <col min="15" max="15" width="17.85546875" style="24" bestFit="1" customWidth="1"/>
    <col min="16" max="16" width="16.28515625" style="24" bestFit="1" customWidth="1"/>
    <col min="17" max="16384" width="9.140625" style="24"/>
  </cols>
  <sheetData>
    <row r="1" spans="2:6" x14ac:dyDescent="0.25">
      <c r="B1" s="21"/>
    </row>
    <row r="2" spans="2:6" x14ac:dyDescent="0.25">
      <c r="B2" s="21" t="s">
        <v>98</v>
      </c>
      <c r="C2" s="24" t="s">
        <v>99</v>
      </c>
    </row>
    <row r="3" spans="2:6" x14ac:dyDescent="0.25">
      <c r="B3" s="21"/>
      <c r="D3" s="24" t="s">
        <v>79</v>
      </c>
      <c r="E3" s="24" t="s">
        <v>140</v>
      </c>
      <c r="F3" s="24" t="s">
        <v>141</v>
      </c>
    </row>
    <row r="4" spans="2:6" x14ac:dyDescent="0.25">
      <c r="B4" s="21"/>
      <c r="C4" s="24" t="s">
        <v>128</v>
      </c>
      <c r="D4" s="24">
        <v>1400</v>
      </c>
      <c r="E4" s="24">
        <v>1300</v>
      </c>
      <c r="F4" s="24">
        <v>1200</v>
      </c>
    </row>
    <row r="5" spans="2:6" x14ac:dyDescent="0.25">
      <c r="B5" s="21"/>
      <c r="C5" s="24" t="s">
        <v>129</v>
      </c>
      <c r="D5" s="24">
        <v>1400</v>
      </c>
      <c r="E5" s="24">
        <v>1300</v>
      </c>
      <c r="F5" s="24">
        <v>1200</v>
      </c>
    </row>
    <row r="6" spans="2:6" x14ac:dyDescent="0.25">
      <c r="B6" s="21"/>
      <c r="C6" s="24" t="s">
        <v>130</v>
      </c>
      <c r="D6" s="24">
        <v>1400</v>
      </c>
      <c r="E6" s="24">
        <v>1300</v>
      </c>
      <c r="F6" s="24">
        <v>1200</v>
      </c>
    </row>
    <row r="7" spans="2:6" x14ac:dyDescent="0.25">
      <c r="B7" s="21"/>
      <c r="C7" s="24" t="s">
        <v>131</v>
      </c>
      <c r="D7" s="24">
        <v>1400</v>
      </c>
      <c r="E7" s="24">
        <v>1300</v>
      </c>
      <c r="F7" s="24">
        <v>1200</v>
      </c>
    </row>
    <row r="8" spans="2:6" x14ac:dyDescent="0.25">
      <c r="B8" s="21"/>
      <c r="C8" s="24" t="s">
        <v>132</v>
      </c>
      <c r="D8" s="24">
        <v>1400</v>
      </c>
      <c r="E8" s="24">
        <v>1300</v>
      </c>
      <c r="F8" s="24">
        <v>1200</v>
      </c>
    </row>
    <row r="9" spans="2:6" x14ac:dyDescent="0.25">
      <c r="B9" s="21"/>
      <c r="C9" s="24" t="s">
        <v>133</v>
      </c>
      <c r="D9" s="24">
        <v>1400</v>
      </c>
      <c r="E9" s="24">
        <v>1300</v>
      </c>
      <c r="F9" s="24">
        <v>1200</v>
      </c>
    </row>
    <row r="10" spans="2:6" x14ac:dyDescent="0.25">
      <c r="B10" s="21"/>
      <c r="C10" s="24" t="s">
        <v>134</v>
      </c>
      <c r="D10" s="24">
        <v>1400</v>
      </c>
      <c r="E10" s="24">
        <v>1300</v>
      </c>
      <c r="F10" s="24">
        <v>1200</v>
      </c>
    </row>
    <row r="11" spans="2:6" x14ac:dyDescent="0.25">
      <c r="B11" s="21"/>
      <c r="C11" s="24" t="s">
        <v>135</v>
      </c>
      <c r="D11" s="24">
        <v>1400</v>
      </c>
      <c r="E11" s="24">
        <v>1300</v>
      </c>
      <c r="F11" s="24">
        <v>1200</v>
      </c>
    </row>
    <row r="12" spans="2:6" x14ac:dyDescent="0.25">
      <c r="B12" s="21"/>
      <c r="C12" s="24" t="s">
        <v>136</v>
      </c>
      <c r="D12" s="24">
        <v>1400</v>
      </c>
      <c r="E12" s="24">
        <v>1300</v>
      </c>
      <c r="F12" s="24">
        <v>1200</v>
      </c>
    </row>
    <row r="13" spans="2:6" x14ac:dyDescent="0.25">
      <c r="B13" s="21"/>
      <c r="C13" s="24" t="s">
        <v>137</v>
      </c>
      <c r="D13" s="24">
        <v>1400</v>
      </c>
      <c r="E13" s="24">
        <v>1300</v>
      </c>
      <c r="F13" s="24">
        <v>1200</v>
      </c>
    </row>
    <row r="14" spans="2:6" x14ac:dyDescent="0.25">
      <c r="B14" s="21"/>
      <c r="C14" s="24" t="s">
        <v>72</v>
      </c>
      <c r="D14" s="24">
        <v>1400</v>
      </c>
      <c r="E14" s="24">
        <v>1300</v>
      </c>
      <c r="F14" s="24">
        <v>1200</v>
      </c>
    </row>
    <row r="15" spans="2:6" x14ac:dyDescent="0.25">
      <c r="C15" s="24" t="s">
        <v>73</v>
      </c>
      <c r="D15" s="24">
        <v>1400</v>
      </c>
      <c r="E15" s="24">
        <v>1300</v>
      </c>
      <c r="F15" s="24">
        <v>1200</v>
      </c>
    </row>
    <row r="20" spans="2:14" x14ac:dyDescent="0.25">
      <c r="B20" s="21" t="s">
        <v>104</v>
      </c>
      <c r="C20" s="24" t="s">
        <v>143</v>
      </c>
    </row>
    <row r="21" spans="2:14" x14ac:dyDescent="0.25">
      <c r="C21" s="24" t="s">
        <v>109</v>
      </c>
      <c r="D21" s="24" t="s">
        <v>110</v>
      </c>
      <c r="E21" s="24" t="s">
        <v>111</v>
      </c>
      <c r="F21" s="24" t="s">
        <v>108</v>
      </c>
      <c r="G21" s="24" t="s">
        <v>112</v>
      </c>
      <c r="H21" s="24" t="s">
        <v>113</v>
      </c>
    </row>
    <row r="22" spans="2:14" x14ac:dyDescent="0.25">
      <c r="C22" s="24">
        <v>5</v>
      </c>
      <c r="D22" s="24">
        <v>6</v>
      </c>
      <c r="E22" s="24">
        <v>7</v>
      </c>
      <c r="F22" s="24">
        <v>8</v>
      </c>
      <c r="G22" s="24">
        <v>8</v>
      </c>
      <c r="H22" s="24">
        <v>9</v>
      </c>
    </row>
    <row r="25" spans="2:14" x14ac:dyDescent="0.25">
      <c r="B25" s="21" t="s">
        <v>105</v>
      </c>
      <c r="C25" s="24" t="s">
        <v>106</v>
      </c>
    </row>
    <row r="26" spans="2:14" x14ac:dyDescent="0.25">
      <c r="D26" s="24" t="s">
        <v>117</v>
      </c>
      <c r="E26" s="24" t="s">
        <v>118</v>
      </c>
      <c r="F26" s="24" t="s">
        <v>119</v>
      </c>
      <c r="G26" s="24" t="s">
        <v>120</v>
      </c>
      <c r="H26" s="24" t="s">
        <v>121</v>
      </c>
      <c r="I26" s="24" t="s">
        <v>122</v>
      </c>
      <c r="J26" s="24" t="s">
        <v>123</v>
      </c>
      <c r="K26" s="24" t="s">
        <v>124</v>
      </c>
      <c r="L26" s="24" t="s">
        <v>125</v>
      </c>
      <c r="M26" s="24" t="s">
        <v>126</v>
      </c>
      <c r="N26" s="24" t="s">
        <v>127</v>
      </c>
    </row>
    <row r="27" spans="2:14" x14ac:dyDescent="0.25">
      <c r="C27" s="24" t="s">
        <v>128</v>
      </c>
      <c r="D27" s="24">
        <v>1</v>
      </c>
      <c r="E27" s="24">
        <v>1</v>
      </c>
      <c r="F27" s="24">
        <v>1</v>
      </c>
      <c r="G27" s="24">
        <v>1</v>
      </c>
      <c r="H27" s="24">
        <v>1</v>
      </c>
      <c r="I27" s="24">
        <v>0</v>
      </c>
      <c r="J27" s="24">
        <v>0</v>
      </c>
      <c r="K27" s="24">
        <v>0</v>
      </c>
      <c r="L27" s="24">
        <v>0</v>
      </c>
      <c r="M27" s="24">
        <v>0</v>
      </c>
      <c r="N27" s="24">
        <v>0</v>
      </c>
    </row>
    <row r="28" spans="2:14" x14ac:dyDescent="0.25">
      <c r="C28" s="24" t="s">
        <v>129</v>
      </c>
      <c r="D28" s="24">
        <v>2</v>
      </c>
      <c r="E28" s="24">
        <v>2</v>
      </c>
      <c r="F28" s="24">
        <v>2</v>
      </c>
      <c r="G28" s="24">
        <v>2</v>
      </c>
      <c r="H28" s="24">
        <v>2</v>
      </c>
      <c r="I28" s="24">
        <v>0</v>
      </c>
      <c r="J28" s="24">
        <v>0</v>
      </c>
      <c r="K28" s="24">
        <v>0</v>
      </c>
      <c r="L28" s="24">
        <v>0</v>
      </c>
      <c r="M28" s="24">
        <v>0</v>
      </c>
      <c r="N28" s="24">
        <v>0</v>
      </c>
    </row>
    <row r="29" spans="2:14" x14ac:dyDescent="0.25">
      <c r="C29" s="24" t="s">
        <v>130</v>
      </c>
      <c r="D29" s="24">
        <v>2</v>
      </c>
      <c r="E29" s="24">
        <v>2</v>
      </c>
      <c r="F29" s="24">
        <v>2</v>
      </c>
      <c r="G29" s="24">
        <v>2</v>
      </c>
      <c r="H29" s="24">
        <v>2</v>
      </c>
      <c r="I29" s="24">
        <v>0</v>
      </c>
      <c r="J29" s="24">
        <v>0</v>
      </c>
      <c r="K29" s="24">
        <v>0</v>
      </c>
      <c r="L29" s="24">
        <v>0</v>
      </c>
      <c r="M29" s="24">
        <v>0</v>
      </c>
      <c r="N29" s="24">
        <v>0</v>
      </c>
    </row>
    <row r="30" spans="2:14" x14ac:dyDescent="0.25">
      <c r="C30" s="24" t="s">
        <v>131</v>
      </c>
      <c r="D30" s="24">
        <v>0</v>
      </c>
      <c r="E30" s="24">
        <v>0</v>
      </c>
      <c r="F30" s="24">
        <v>0</v>
      </c>
      <c r="G30" s="24">
        <v>0</v>
      </c>
      <c r="H30" s="24">
        <v>0</v>
      </c>
      <c r="I30" s="24">
        <v>1</v>
      </c>
      <c r="J30" s="24">
        <v>0</v>
      </c>
      <c r="K30" s="24">
        <v>0</v>
      </c>
      <c r="L30" s="24">
        <v>0</v>
      </c>
      <c r="M30" s="24">
        <v>0</v>
      </c>
      <c r="N30" s="24">
        <v>0</v>
      </c>
    </row>
    <row r="31" spans="2:14" x14ac:dyDescent="0.25">
      <c r="C31" s="24" t="s">
        <v>132</v>
      </c>
      <c r="D31" s="24">
        <v>0</v>
      </c>
      <c r="E31" s="24">
        <v>0</v>
      </c>
      <c r="F31" s="24">
        <v>0</v>
      </c>
      <c r="G31" s="24">
        <v>0</v>
      </c>
      <c r="H31" s="24">
        <v>0</v>
      </c>
      <c r="I31" s="24">
        <v>1</v>
      </c>
      <c r="J31" s="24">
        <v>0</v>
      </c>
      <c r="K31" s="24">
        <v>0</v>
      </c>
      <c r="L31" s="24">
        <v>0</v>
      </c>
      <c r="M31" s="24">
        <v>0</v>
      </c>
      <c r="N31" s="24">
        <v>0</v>
      </c>
    </row>
    <row r="32" spans="2:14" x14ac:dyDescent="0.25">
      <c r="C32" s="24" t="s">
        <v>133</v>
      </c>
      <c r="D32" s="24">
        <v>0</v>
      </c>
      <c r="E32" s="24">
        <v>0</v>
      </c>
      <c r="F32" s="24">
        <v>0</v>
      </c>
      <c r="G32" s="24">
        <v>0</v>
      </c>
      <c r="H32" s="24">
        <v>0</v>
      </c>
      <c r="I32" s="24">
        <v>0</v>
      </c>
      <c r="J32" s="24">
        <v>1</v>
      </c>
      <c r="K32" s="24">
        <v>0</v>
      </c>
      <c r="L32" s="24">
        <v>0</v>
      </c>
      <c r="M32" s="24">
        <v>0</v>
      </c>
      <c r="N32" s="24">
        <v>0</v>
      </c>
    </row>
    <row r="33" spans="2:14" x14ac:dyDescent="0.25">
      <c r="C33" s="24" t="s">
        <v>134</v>
      </c>
      <c r="D33" s="24">
        <v>0</v>
      </c>
      <c r="E33" s="24">
        <v>0</v>
      </c>
      <c r="F33" s="24">
        <v>0</v>
      </c>
      <c r="G33" s="24">
        <v>0</v>
      </c>
      <c r="H33" s="24">
        <v>0</v>
      </c>
      <c r="I33" s="24">
        <v>0</v>
      </c>
      <c r="J33" s="24">
        <v>1</v>
      </c>
      <c r="K33" s="24">
        <v>0</v>
      </c>
      <c r="L33" s="24">
        <v>0</v>
      </c>
      <c r="M33" s="24">
        <v>0</v>
      </c>
      <c r="N33" s="24">
        <v>0</v>
      </c>
    </row>
    <row r="34" spans="2:14" x14ac:dyDescent="0.25">
      <c r="C34" s="24" t="s">
        <v>135</v>
      </c>
      <c r="D34" s="24">
        <v>0</v>
      </c>
      <c r="E34" s="24">
        <v>0</v>
      </c>
      <c r="F34" s="24">
        <v>0</v>
      </c>
      <c r="G34" s="24">
        <v>0</v>
      </c>
      <c r="H34" s="24">
        <v>0</v>
      </c>
      <c r="I34" s="24">
        <v>0</v>
      </c>
      <c r="J34" s="24">
        <v>0</v>
      </c>
      <c r="K34" s="24">
        <v>1</v>
      </c>
      <c r="L34" s="24">
        <v>1</v>
      </c>
      <c r="M34" s="24">
        <v>1</v>
      </c>
      <c r="N34" s="24">
        <v>2</v>
      </c>
    </row>
    <row r="35" spans="2:14" x14ac:dyDescent="0.25">
      <c r="C35" s="24" t="s">
        <v>136</v>
      </c>
      <c r="D35" s="24">
        <v>0</v>
      </c>
      <c r="E35" s="24">
        <v>0</v>
      </c>
      <c r="F35" s="24">
        <v>0</v>
      </c>
      <c r="G35" s="24">
        <v>0</v>
      </c>
      <c r="H35" s="24">
        <v>0</v>
      </c>
      <c r="I35" s="24">
        <v>0</v>
      </c>
      <c r="J35" s="24">
        <v>0</v>
      </c>
      <c r="K35" s="24">
        <v>1</v>
      </c>
      <c r="L35" s="24">
        <v>1</v>
      </c>
      <c r="M35" s="24">
        <v>1</v>
      </c>
      <c r="N35" s="24">
        <v>2</v>
      </c>
    </row>
    <row r="36" spans="2:14" x14ac:dyDescent="0.25">
      <c r="C36" s="24" t="s">
        <v>137</v>
      </c>
      <c r="D36" s="24">
        <v>0</v>
      </c>
      <c r="E36" s="24">
        <v>0</v>
      </c>
      <c r="F36" s="24">
        <v>0</v>
      </c>
      <c r="G36" s="24">
        <v>0</v>
      </c>
      <c r="H36" s="24">
        <v>0</v>
      </c>
      <c r="I36" s="24">
        <v>0</v>
      </c>
      <c r="J36" s="24">
        <v>0</v>
      </c>
      <c r="K36" s="24">
        <v>1</v>
      </c>
      <c r="L36" s="24">
        <v>1</v>
      </c>
      <c r="M36" s="24">
        <v>1</v>
      </c>
      <c r="N36" s="24">
        <v>2</v>
      </c>
    </row>
    <row r="40" spans="2:14" x14ac:dyDescent="0.25">
      <c r="B40" s="24" t="s">
        <v>150</v>
      </c>
      <c r="C40" s="24" t="s">
        <v>152</v>
      </c>
    </row>
    <row r="41" spans="2:14" x14ac:dyDescent="0.25">
      <c r="D41" s="24" t="s">
        <v>145</v>
      </c>
      <c r="E41" s="24" t="s">
        <v>147</v>
      </c>
      <c r="F41" s="24" t="s">
        <v>146</v>
      </c>
    </row>
    <row r="42" spans="2:14" x14ac:dyDescent="0.25">
      <c r="C42" s="24" t="s">
        <v>128</v>
      </c>
      <c r="D42" s="24">
        <v>12</v>
      </c>
      <c r="E42" s="24">
        <v>17</v>
      </c>
      <c r="F42" s="24">
        <v>13</v>
      </c>
    </row>
    <row r="43" spans="2:14" x14ac:dyDescent="0.25">
      <c r="C43" s="24" t="s">
        <v>129</v>
      </c>
      <c r="D43" s="24">
        <v>20</v>
      </c>
      <c r="E43" s="24">
        <v>16</v>
      </c>
      <c r="F43" s="24">
        <v>11</v>
      </c>
    </row>
    <row r="44" spans="2:14" x14ac:dyDescent="0.25">
      <c r="C44" s="24" t="s">
        <v>130</v>
      </c>
      <c r="D44" s="24">
        <v>13</v>
      </c>
      <c r="E44" s="24">
        <v>12</v>
      </c>
      <c r="F44" s="24">
        <v>14</v>
      </c>
    </row>
    <row r="45" spans="2:14" x14ac:dyDescent="0.25">
      <c r="C45" s="24" t="s">
        <v>131</v>
      </c>
      <c r="D45" s="24">
        <v>13</v>
      </c>
      <c r="E45" s="24">
        <v>15</v>
      </c>
      <c r="F45" s="24">
        <v>12</v>
      </c>
    </row>
    <row r="46" spans="2:14" x14ac:dyDescent="0.25">
      <c r="C46" s="24" t="s">
        <v>132</v>
      </c>
      <c r="D46" s="24">
        <v>14</v>
      </c>
      <c r="E46" s="24">
        <v>13</v>
      </c>
      <c r="F46" s="24">
        <v>18</v>
      </c>
    </row>
    <row r="47" spans="2:14" x14ac:dyDescent="0.25">
      <c r="C47" s="24" t="s">
        <v>133</v>
      </c>
      <c r="D47" s="24">
        <v>20</v>
      </c>
      <c r="E47" s="24">
        <v>17</v>
      </c>
      <c r="F47" s="24">
        <v>10</v>
      </c>
    </row>
    <row r="48" spans="2:14" x14ac:dyDescent="0.25">
      <c r="C48" s="24" t="s">
        <v>134</v>
      </c>
      <c r="D48" s="24">
        <v>16</v>
      </c>
      <c r="E48" s="24">
        <v>18</v>
      </c>
      <c r="F48" s="24">
        <v>14</v>
      </c>
    </row>
    <row r="49" spans="2:6" x14ac:dyDescent="0.25">
      <c r="C49" s="24" t="s">
        <v>135</v>
      </c>
      <c r="D49" s="24">
        <v>14</v>
      </c>
      <c r="E49" s="24">
        <v>11</v>
      </c>
      <c r="F49" s="24">
        <v>18</v>
      </c>
    </row>
    <row r="50" spans="2:6" x14ac:dyDescent="0.25">
      <c r="C50" s="24" t="s">
        <v>136</v>
      </c>
      <c r="D50" s="24">
        <v>11</v>
      </c>
      <c r="E50" s="24">
        <v>16</v>
      </c>
      <c r="F50" s="24">
        <v>12</v>
      </c>
    </row>
    <row r="51" spans="2:6" x14ac:dyDescent="0.25">
      <c r="C51" s="24" t="s">
        <v>137</v>
      </c>
      <c r="D51" s="24">
        <v>17</v>
      </c>
      <c r="E51" s="24">
        <v>11</v>
      </c>
      <c r="F51" s="24">
        <v>12</v>
      </c>
    </row>
    <row r="53" spans="2:6" x14ac:dyDescent="0.25">
      <c r="B53" s="21" t="s">
        <v>153</v>
      </c>
      <c r="C53" s="24" t="s">
        <v>151</v>
      </c>
    </row>
    <row r="54" spans="2:6" x14ac:dyDescent="0.25">
      <c r="C54" s="24" t="s">
        <v>70</v>
      </c>
      <c r="D54" s="24" t="s">
        <v>71</v>
      </c>
      <c r="E54" s="24" t="s">
        <v>139</v>
      </c>
    </row>
    <row r="55" spans="2:6" x14ac:dyDescent="0.25">
      <c r="C55" s="24">
        <v>500</v>
      </c>
      <c r="D55" s="24">
        <v>50</v>
      </c>
      <c r="E55" s="24">
        <v>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A3" sqref="A3:XFD29"/>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4:P26"/>
  <sheetViews>
    <sheetView workbookViewId="0">
      <selection activeCell="A3" sqref="A3:XFD29"/>
    </sheetView>
  </sheetViews>
  <sheetFormatPr defaultRowHeight="15" x14ac:dyDescent="0.25"/>
  <cols>
    <col min="4" max="4" width="24.28515625" bestFit="1" customWidth="1"/>
  </cols>
  <sheetData>
    <row r="4" spans="3:16" x14ac:dyDescent="0.25">
      <c r="C4" s="8"/>
      <c r="D4" s="7"/>
      <c r="E4" s="7"/>
      <c r="F4" s="7"/>
      <c r="G4" s="7"/>
      <c r="H4" s="7"/>
      <c r="I4" s="7"/>
      <c r="J4" s="7"/>
      <c r="K4" s="7"/>
      <c r="L4" s="7"/>
      <c r="M4" s="7"/>
      <c r="N4" s="7"/>
      <c r="O4" s="7"/>
      <c r="P4" s="7"/>
    </row>
    <row r="5" spans="3:16" x14ac:dyDescent="0.25">
      <c r="C5" s="7"/>
      <c r="D5" s="7"/>
      <c r="E5" s="7"/>
      <c r="F5" s="7"/>
      <c r="G5" s="7"/>
      <c r="H5" s="7"/>
      <c r="I5" s="7"/>
      <c r="J5" s="7"/>
      <c r="K5" s="7"/>
      <c r="L5" s="7"/>
      <c r="M5" s="7"/>
      <c r="N5" s="7"/>
      <c r="O5" s="7"/>
      <c r="P5" s="7"/>
    </row>
    <row r="6" spans="3:16" x14ac:dyDescent="0.25">
      <c r="C6" s="7"/>
      <c r="D6" s="7"/>
      <c r="E6" s="7"/>
      <c r="F6" s="7"/>
      <c r="G6" s="7"/>
      <c r="H6" s="7"/>
      <c r="I6" s="7"/>
      <c r="J6" s="7"/>
      <c r="K6" s="7"/>
      <c r="L6" s="7"/>
      <c r="M6" s="7"/>
      <c r="N6" s="7"/>
      <c r="O6" s="7"/>
      <c r="P6" s="7"/>
    </row>
    <row r="7" spans="3:16" x14ac:dyDescent="0.25">
      <c r="C7" s="7"/>
      <c r="D7" s="7"/>
      <c r="E7" s="7"/>
      <c r="F7" s="7"/>
      <c r="G7" s="7"/>
      <c r="H7" s="7"/>
      <c r="I7" s="7"/>
      <c r="J7" s="7"/>
      <c r="K7" s="7"/>
      <c r="L7" s="7"/>
      <c r="M7" s="7"/>
      <c r="N7" s="7"/>
      <c r="O7" s="7"/>
      <c r="P7" s="7"/>
    </row>
    <row r="8" spans="3:16" x14ac:dyDescent="0.25">
      <c r="C8" s="7"/>
      <c r="D8" s="7"/>
      <c r="E8" s="7"/>
      <c r="F8" s="7"/>
      <c r="G8" s="7"/>
      <c r="H8" s="7"/>
      <c r="I8" s="7"/>
      <c r="J8" s="7"/>
      <c r="K8" s="7"/>
      <c r="L8" s="7"/>
      <c r="M8" s="7"/>
      <c r="N8" s="7"/>
      <c r="O8" s="7"/>
      <c r="P8" s="7"/>
    </row>
    <row r="9" spans="3:16" x14ac:dyDescent="0.25">
      <c r="C9" s="7"/>
      <c r="D9" s="7"/>
      <c r="E9" s="7"/>
      <c r="F9" s="7"/>
      <c r="G9" s="7"/>
      <c r="H9" s="7"/>
      <c r="I9" s="7"/>
      <c r="J9" s="7"/>
      <c r="K9" s="7"/>
      <c r="L9" s="7"/>
      <c r="M9" s="7"/>
      <c r="N9" s="7"/>
      <c r="O9" s="7"/>
      <c r="P9" s="7"/>
    </row>
    <row r="10" spans="3:16" x14ac:dyDescent="0.25">
      <c r="C10" s="7"/>
      <c r="D10" s="7"/>
      <c r="E10" s="7"/>
      <c r="F10" s="7"/>
      <c r="G10" s="7"/>
      <c r="H10" s="7"/>
      <c r="I10" s="7"/>
      <c r="J10" s="7"/>
      <c r="K10" s="7"/>
      <c r="L10" s="7"/>
      <c r="M10" s="7"/>
      <c r="N10" s="7"/>
      <c r="O10" s="7"/>
      <c r="P10" s="7"/>
    </row>
    <row r="11" spans="3:16" x14ac:dyDescent="0.25">
      <c r="C11" s="7"/>
      <c r="D11" s="7"/>
      <c r="E11" s="7"/>
      <c r="F11" s="7"/>
      <c r="G11" s="7"/>
      <c r="H11" s="7"/>
      <c r="I11" s="7"/>
      <c r="J11" s="7"/>
      <c r="K11" s="7"/>
      <c r="L11" s="7"/>
      <c r="M11" s="7"/>
      <c r="N11" s="7"/>
      <c r="O11" s="7"/>
      <c r="P11" s="7"/>
    </row>
    <row r="12" spans="3:16" x14ac:dyDescent="0.25">
      <c r="C12" s="7"/>
      <c r="D12" s="7"/>
      <c r="E12" s="7"/>
      <c r="F12" s="7"/>
      <c r="G12" s="7"/>
      <c r="H12" s="7"/>
      <c r="I12" s="7"/>
      <c r="J12" s="7"/>
      <c r="K12" s="7"/>
      <c r="L12" s="7"/>
      <c r="M12" s="7"/>
      <c r="N12" s="7"/>
      <c r="O12" s="7"/>
      <c r="P12" s="7"/>
    </row>
    <row r="13" spans="3:16" x14ac:dyDescent="0.25">
      <c r="C13" s="7"/>
      <c r="D13" s="7"/>
      <c r="E13" s="7"/>
      <c r="F13" s="7"/>
      <c r="G13" s="7"/>
      <c r="H13" s="7"/>
      <c r="I13" s="7"/>
      <c r="J13" s="7"/>
      <c r="K13" s="7"/>
      <c r="L13" s="7"/>
      <c r="M13" s="7"/>
      <c r="N13" s="7"/>
      <c r="O13" s="7"/>
      <c r="P13" s="7"/>
    </row>
    <row r="14" spans="3:16" x14ac:dyDescent="0.25">
      <c r="C14" s="7"/>
      <c r="D14" s="7"/>
      <c r="E14" s="7"/>
      <c r="F14" s="7"/>
      <c r="G14" s="7"/>
      <c r="H14" s="7"/>
      <c r="I14" s="7"/>
      <c r="J14" s="7"/>
      <c r="K14" s="7"/>
      <c r="L14" s="7"/>
      <c r="M14" s="7"/>
      <c r="N14" s="7"/>
      <c r="O14" s="7"/>
      <c r="P14" s="7"/>
    </row>
    <row r="15" spans="3:16" x14ac:dyDescent="0.25">
      <c r="C15" s="7"/>
      <c r="D15" s="7"/>
      <c r="E15" s="7"/>
      <c r="F15" s="7"/>
      <c r="G15" s="7"/>
      <c r="H15" s="7"/>
      <c r="I15" s="7"/>
      <c r="J15" s="7"/>
      <c r="K15" s="7"/>
      <c r="L15" s="7"/>
      <c r="M15" s="7"/>
      <c r="N15" s="7"/>
      <c r="O15" s="7"/>
      <c r="P15" s="7"/>
    </row>
    <row r="16" spans="3:16" x14ac:dyDescent="0.25">
      <c r="C16" s="7"/>
      <c r="D16" s="7"/>
      <c r="E16" s="7"/>
      <c r="F16" s="7"/>
      <c r="G16" s="7"/>
      <c r="H16" s="7"/>
      <c r="I16" s="7"/>
      <c r="J16" s="7"/>
      <c r="K16" s="7"/>
      <c r="L16" s="7"/>
      <c r="M16" s="7"/>
      <c r="N16" s="7"/>
      <c r="O16" s="7"/>
      <c r="P16" s="7"/>
    </row>
    <row r="17" spans="3:16" x14ac:dyDescent="0.25">
      <c r="C17" s="7"/>
      <c r="D17" s="7"/>
      <c r="E17" s="7"/>
      <c r="F17" s="7"/>
      <c r="G17" s="7"/>
      <c r="H17" s="7"/>
      <c r="I17" s="7"/>
      <c r="J17" s="7"/>
      <c r="K17" s="7"/>
      <c r="L17" s="7"/>
      <c r="M17" s="7"/>
      <c r="N17" s="7"/>
      <c r="O17" s="7"/>
      <c r="P17" s="7"/>
    </row>
    <row r="18" spans="3:16" x14ac:dyDescent="0.25">
      <c r="C18" s="7"/>
      <c r="D18" s="7"/>
      <c r="E18" s="7"/>
      <c r="F18" s="7"/>
      <c r="G18" s="7"/>
      <c r="H18" s="7"/>
      <c r="I18" s="7"/>
      <c r="J18" s="7"/>
      <c r="K18" s="7"/>
      <c r="L18" s="7"/>
      <c r="M18" s="7"/>
      <c r="N18" s="7"/>
      <c r="O18" s="7"/>
      <c r="P18" s="7"/>
    </row>
    <row r="19" spans="3:16" x14ac:dyDescent="0.25">
      <c r="C19" s="7"/>
      <c r="D19" s="7"/>
      <c r="E19" s="7"/>
      <c r="F19" s="7"/>
      <c r="G19" s="7"/>
      <c r="H19" s="7"/>
      <c r="I19" s="7"/>
      <c r="J19" s="7"/>
      <c r="K19" s="7"/>
      <c r="L19" s="7"/>
      <c r="M19" s="7"/>
      <c r="N19" s="7"/>
      <c r="O19" s="7"/>
      <c r="P19" s="7"/>
    </row>
    <row r="20" spans="3:16" x14ac:dyDescent="0.25">
      <c r="C20" s="7"/>
      <c r="D20" s="7"/>
      <c r="E20" s="7"/>
      <c r="F20" s="7"/>
      <c r="G20" s="7"/>
      <c r="H20" s="7"/>
      <c r="I20" s="7"/>
      <c r="J20" s="7"/>
      <c r="K20" s="7"/>
      <c r="L20" s="7"/>
      <c r="M20" s="7"/>
      <c r="N20" s="7"/>
      <c r="O20" s="7"/>
      <c r="P20" s="7"/>
    </row>
    <row r="21" spans="3:16" x14ac:dyDescent="0.25">
      <c r="C21" s="7"/>
      <c r="D21" s="7"/>
      <c r="E21" s="7"/>
      <c r="F21" s="7"/>
      <c r="G21" s="7"/>
      <c r="H21" s="7"/>
      <c r="I21" s="7"/>
      <c r="J21" s="7"/>
      <c r="K21" s="7"/>
      <c r="L21" s="7"/>
      <c r="M21" s="7"/>
      <c r="N21" s="7"/>
      <c r="O21" s="7"/>
      <c r="P21" s="7"/>
    </row>
    <row r="22" spans="3:16" x14ac:dyDescent="0.25">
      <c r="C22" s="7"/>
      <c r="D22" s="7"/>
      <c r="E22" s="7"/>
      <c r="F22" s="7"/>
      <c r="G22" s="7"/>
      <c r="H22" s="7"/>
      <c r="I22" s="7"/>
      <c r="J22" s="7"/>
      <c r="K22" s="7"/>
      <c r="L22" s="7"/>
      <c r="M22" s="7"/>
      <c r="N22" s="7"/>
      <c r="O22" s="7"/>
      <c r="P22" s="7"/>
    </row>
    <row r="23" spans="3:16" x14ac:dyDescent="0.25">
      <c r="C23" s="7"/>
      <c r="D23" s="7"/>
      <c r="E23" s="7"/>
      <c r="F23" s="7"/>
      <c r="G23" s="7"/>
      <c r="H23" s="7"/>
      <c r="I23" s="7"/>
      <c r="J23" s="7"/>
      <c r="K23" s="7"/>
      <c r="L23" s="7"/>
      <c r="M23" s="7"/>
      <c r="N23" s="7"/>
      <c r="O23" s="7"/>
      <c r="P23" s="7"/>
    </row>
    <row r="24" spans="3:16" x14ac:dyDescent="0.25">
      <c r="C24" s="7"/>
      <c r="D24" s="7"/>
      <c r="E24" s="7"/>
      <c r="F24" s="7"/>
      <c r="G24" s="7"/>
      <c r="H24" s="7"/>
      <c r="I24" s="7"/>
      <c r="J24" s="7"/>
      <c r="K24" s="7"/>
      <c r="L24" s="7"/>
      <c r="M24" s="7"/>
      <c r="N24" s="7"/>
      <c r="O24" s="7"/>
      <c r="P24" s="7"/>
    </row>
    <row r="25" spans="3:16" x14ac:dyDescent="0.25">
      <c r="C25" s="7"/>
      <c r="D25" s="7"/>
      <c r="E25" s="7"/>
      <c r="F25" s="7"/>
      <c r="G25" s="7"/>
      <c r="H25" s="7"/>
      <c r="I25" s="7"/>
      <c r="J25" s="7"/>
      <c r="K25" s="7"/>
      <c r="L25" s="7"/>
      <c r="M25" s="7"/>
      <c r="N25" s="7"/>
      <c r="O25" s="7"/>
      <c r="P25" s="7"/>
    </row>
    <row r="26" spans="3:16" x14ac:dyDescent="0.25">
      <c r="C26" s="7"/>
      <c r="D26" s="7"/>
      <c r="E26" s="7"/>
      <c r="F26" s="7"/>
      <c r="G26" s="7"/>
      <c r="H26" s="7"/>
      <c r="I26" s="7"/>
      <c r="J26" s="7"/>
      <c r="K26" s="7"/>
      <c r="L26" s="7"/>
      <c r="M26" s="7"/>
      <c r="N26" s="7"/>
      <c r="O26" s="7"/>
      <c r="P26" s="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I1:J13"/>
  <sheetViews>
    <sheetView workbookViewId="0">
      <selection activeCell="I14" sqref="I14"/>
    </sheetView>
  </sheetViews>
  <sheetFormatPr defaultRowHeight="15" x14ac:dyDescent="0.25"/>
  <cols>
    <col min="9" max="9" width="34.28515625" customWidth="1"/>
  </cols>
  <sheetData>
    <row r="1" spans="9:10" s="186" customFormat="1" x14ac:dyDescent="0.25"/>
    <row r="2" spans="9:10" s="186" customFormat="1" x14ac:dyDescent="0.25"/>
    <row r="3" spans="9:10" s="186" customFormat="1" x14ac:dyDescent="0.25"/>
    <row r="4" spans="9:10" s="186" customFormat="1" x14ac:dyDescent="0.25"/>
    <row r="5" spans="9:10" s="186" customFormat="1" x14ac:dyDescent="0.25"/>
    <row r="6" spans="9:10" s="186" customFormat="1" x14ac:dyDescent="0.25"/>
    <row r="7" spans="9:10" s="186" customFormat="1" x14ac:dyDescent="0.25"/>
    <row r="8" spans="9:10" s="186" customFormat="1" ht="15.75" thickBot="1" x14ac:dyDescent="0.3"/>
    <row r="9" spans="9:10" ht="15.75" thickTop="1" x14ac:dyDescent="0.25">
      <c r="I9" s="181" t="s">
        <v>323</v>
      </c>
      <c r="J9" s="182"/>
    </row>
    <row r="10" spans="9:10" x14ac:dyDescent="0.25">
      <c r="I10" s="183" t="s">
        <v>324</v>
      </c>
      <c r="J10" s="184"/>
    </row>
    <row r="11" spans="9:10" x14ac:dyDescent="0.25">
      <c r="I11" s="183" t="s">
        <v>325</v>
      </c>
      <c r="J11" s="184"/>
    </row>
    <row r="12" spans="9:10" ht="15.75" thickBot="1" x14ac:dyDescent="0.3">
      <c r="I12" s="187"/>
      <c r="J12" s="188"/>
    </row>
    <row r="13" spans="9:10" ht="15.75" thickTop="1" x14ac:dyDescent="0.25"/>
  </sheetData>
  <mergeCells count="2">
    <mergeCell ref="A1:XFD8"/>
    <mergeCell ref="I12:J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unDemo">
                <anchor moveWithCells="1">
                  <from>
                    <xdr:col>8</xdr:col>
                    <xdr:colOff>9525</xdr:colOff>
                    <xdr:row>0</xdr:row>
                    <xdr:rowOff>95250</xdr:rowOff>
                  </from>
                  <to>
                    <xdr:col>8</xdr:col>
                    <xdr:colOff>1828800</xdr:colOff>
                    <xdr:row>4</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R49"/>
  <sheetViews>
    <sheetView tabSelected="1" topLeftCell="A28" workbookViewId="0">
      <selection activeCell="H7" sqref="H7"/>
    </sheetView>
  </sheetViews>
  <sheetFormatPr defaultColWidth="9.28515625" defaultRowHeight="15.75" x14ac:dyDescent="0.25"/>
  <cols>
    <col min="1" max="2" width="9.28515625" style="62"/>
    <col min="3" max="3" width="4.7109375" style="109" bestFit="1" customWidth="1"/>
    <col min="4" max="4" width="12.7109375" style="62" bestFit="1" customWidth="1"/>
    <col min="5" max="5" width="9.5703125" style="62" bestFit="1" customWidth="1"/>
    <col min="6" max="17" width="10.7109375" style="62" bestFit="1" customWidth="1"/>
    <col min="18" max="16384" width="9.28515625" style="62"/>
  </cols>
  <sheetData>
    <row r="1" spans="1:18" x14ac:dyDescent="0.25">
      <c r="E1" s="29"/>
    </row>
    <row r="2" spans="1:18" x14ac:dyDescent="0.25">
      <c r="E2" s="29"/>
    </row>
    <row r="3" spans="1:18" ht="33.75" x14ac:dyDescent="0.5">
      <c r="D3" s="126" t="s">
        <v>289</v>
      </c>
      <c r="E3" s="29"/>
    </row>
    <row r="4" spans="1:18" x14ac:dyDescent="0.25">
      <c r="E4" s="29"/>
    </row>
    <row r="5" spans="1:18" x14ac:dyDescent="0.25">
      <c r="E5" s="29"/>
    </row>
    <row r="6" spans="1:18" x14ac:dyDescent="0.25">
      <c r="E6" s="29"/>
    </row>
    <row r="7" spans="1:18" s="38" customFormat="1" ht="21" x14ac:dyDescent="0.35">
      <c r="A7" s="118" t="s">
        <v>288</v>
      </c>
      <c r="C7"/>
      <c r="D7"/>
      <c r="E7"/>
      <c r="F7" s="8"/>
      <c r="G7" s="8"/>
      <c r="H7" s="8"/>
      <c r="I7" s="8"/>
      <c r="J7" s="8"/>
      <c r="K7" s="8"/>
      <c r="L7" s="8"/>
      <c r="M7" s="8"/>
      <c r="N7" s="8"/>
      <c r="O7" s="8"/>
      <c r="P7" s="8"/>
      <c r="Q7" s="8"/>
      <c r="R7" s="8"/>
    </row>
    <row r="8" spans="1:18" ht="15" x14ac:dyDescent="0.25">
      <c r="A8" s="121" t="s">
        <v>333</v>
      </c>
      <c r="C8"/>
      <c r="D8"/>
      <c r="E8"/>
      <c r="F8" s="8"/>
      <c r="G8" s="8"/>
      <c r="H8" s="8"/>
      <c r="I8" s="8"/>
      <c r="J8" s="8"/>
      <c r="K8" s="8"/>
      <c r="L8" s="8"/>
      <c r="M8" s="8"/>
      <c r="N8" s="8"/>
      <c r="O8" s="8"/>
      <c r="P8" s="8"/>
      <c r="Q8" s="8"/>
      <c r="R8" s="8"/>
    </row>
    <row r="9" spans="1:18" ht="15" x14ac:dyDescent="0.25">
      <c r="C9"/>
      <c r="D9"/>
      <c r="E9"/>
      <c r="F9" s="8"/>
      <c r="G9" s="8"/>
      <c r="H9" s="8"/>
      <c r="I9" s="8"/>
      <c r="J9" s="8"/>
      <c r="K9" s="8"/>
      <c r="L9" s="8"/>
      <c r="M9" s="8"/>
      <c r="N9" s="8"/>
      <c r="O9" s="8"/>
      <c r="P9" s="8"/>
      <c r="Q9" s="8"/>
      <c r="R9" s="8"/>
    </row>
    <row r="10" spans="1:18" ht="15" x14ac:dyDescent="0.25">
      <c r="C10"/>
      <c r="D10"/>
      <c r="E10" s="32" t="s">
        <v>278</v>
      </c>
      <c r="F10" s="8">
        <v>1</v>
      </c>
      <c r="G10" s="8">
        <v>2</v>
      </c>
      <c r="H10" s="8">
        <v>3</v>
      </c>
      <c r="I10" s="8">
        <v>4</v>
      </c>
      <c r="J10" s="8">
        <v>5</v>
      </c>
      <c r="K10" s="8">
        <v>6</v>
      </c>
      <c r="L10" s="8">
        <v>7</v>
      </c>
      <c r="M10" s="8">
        <v>8</v>
      </c>
      <c r="N10" s="8">
        <v>9</v>
      </c>
      <c r="O10" s="8">
        <v>10</v>
      </c>
      <c r="P10" s="8">
        <v>11</v>
      </c>
      <c r="Q10" s="8">
        <v>12</v>
      </c>
      <c r="R10" s="8"/>
    </row>
    <row r="11" spans="1:18" ht="15" x14ac:dyDescent="0.25">
      <c r="C11"/>
      <c r="D11"/>
      <c r="E11" s="32" t="s">
        <v>279</v>
      </c>
      <c r="F11" s="120">
        <v>43474</v>
      </c>
      <c r="G11" s="120">
        <v>43686</v>
      </c>
      <c r="H11" s="8" t="s">
        <v>326</v>
      </c>
      <c r="I11" s="8" t="s">
        <v>327</v>
      </c>
      <c r="J11" s="8" t="s">
        <v>328</v>
      </c>
      <c r="K11" s="120">
        <v>43626</v>
      </c>
      <c r="L11" s="8" t="s">
        <v>329</v>
      </c>
      <c r="M11" s="8" t="s">
        <v>330</v>
      </c>
      <c r="N11" s="8" t="s">
        <v>331</v>
      </c>
      <c r="O11" s="120">
        <v>43535</v>
      </c>
      <c r="P11" s="120">
        <v>43749</v>
      </c>
      <c r="Q11" s="8" t="s">
        <v>332</v>
      </c>
      <c r="R11" s="8"/>
    </row>
    <row r="12" spans="1:18" thickBot="1" x14ac:dyDescent="0.3">
      <c r="C12"/>
      <c r="D12"/>
      <c r="E12" s="110" t="s">
        <v>280</v>
      </c>
      <c r="F12" s="111">
        <v>7</v>
      </c>
      <c r="G12" s="111">
        <v>7</v>
      </c>
      <c r="H12" s="111">
        <v>7</v>
      </c>
      <c r="I12" s="111">
        <v>7</v>
      </c>
      <c r="J12" s="111">
        <v>7</v>
      </c>
      <c r="K12" s="111">
        <v>7</v>
      </c>
      <c r="L12" s="111">
        <v>7</v>
      </c>
      <c r="M12" s="111">
        <v>7</v>
      </c>
      <c r="N12" s="111">
        <v>7</v>
      </c>
      <c r="O12" s="111">
        <v>7</v>
      </c>
      <c r="P12" s="111">
        <v>7</v>
      </c>
      <c r="Q12" s="111">
        <v>7</v>
      </c>
      <c r="R12" s="8"/>
    </row>
    <row r="13" spans="1:18" ht="15" x14ac:dyDescent="0.25">
      <c r="C13"/>
      <c r="D13"/>
      <c r="E13" s="32" t="s">
        <v>210</v>
      </c>
      <c r="F13"/>
      <c r="G13"/>
      <c r="H13"/>
      <c r="I13"/>
      <c r="J13"/>
      <c r="K13"/>
      <c r="L13"/>
      <c r="M13"/>
      <c r="N13"/>
      <c r="O13"/>
      <c r="P13"/>
      <c r="Q13"/>
      <c r="R13"/>
    </row>
    <row r="14" spans="1:18" ht="15" x14ac:dyDescent="0.25">
      <c r="C14" s="26" t="s">
        <v>112</v>
      </c>
      <c r="D14" s="26" t="s">
        <v>281</v>
      </c>
      <c r="E14" s="26" t="s">
        <v>156</v>
      </c>
      <c r="F14">
        <v>0.39200000000000002</v>
      </c>
      <c r="G14">
        <v>0.39200000000000002</v>
      </c>
      <c r="H14">
        <v>0.39200000000000002</v>
      </c>
      <c r="I14">
        <v>0.39200000000000002</v>
      </c>
      <c r="J14">
        <v>0.39200000000000002</v>
      </c>
      <c r="K14">
        <v>0.39200000000000002</v>
      </c>
      <c r="L14">
        <v>0.39200000000000002</v>
      </c>
      <c r="M14">
        <v>0.39200000000000002</v>
      </c>
      <c r="N14">
        <v>0.39200000000000002</v>
      </c>
      <c r="O14">
        <v>0.39200000000000002</v>
      </c>
      <c r="P14">
        <v>0.39200000000000002</v>
      </c>
      <c r="Q14">
        <v>0.39200000000000002</v>
      </c>
      <c r="R14"/>
    </row>
    <row r="15" spans="1:18" ht="15" x14ac:dyDescent="0.25">
      <c r="C15" s="26"/>
      <c r="D15" s="26"/>
      <c r="E15" s="26" t="s">
        <v>159</v>
      </c>
      <c r="F15">
        <v>19.176079999999999</v>
      </c>
      <c r="G15"/>
      <c r="H15"/>
      <c r="I15">
        <v>19.176079999999999</v>
      </c>
      <c r="J15"/>
      <c r="K15"/>
      <c r="L15"/>
      <c r="M15"/>
      <c r="N15"/>
      <c r="O15">
        <v>19.176079999999999</v>
      </c>
      <c r="P15">
        <v>19.176079999999999</v>
      </c>
      <c r="Q15">
        <v>19.176079999999999</v>
      </c>
      <c r="R15"/>
    </row>
    <row r="16" spans="1:18" ht="15" x14ac:dyDescent="0.25">
      <c r="C16" s="26"/>
      <c r="D16" s="26" t="s">
        <v>285</v>
      </c>
      <c r="E16" s="26" t="s">
        <v>158</v>
      </c>
      <c r="F16">
        <v>1.9852000000000001</v>
      </c>
      <c r="G16">
        <v>1.9852000000000001</v>
      </c>
      <c r="H16">
        <v>1.9852000000000001</v>
      </c>
      <c r="I16">
        <v>1.9852000000000001</v>
      </c>
      <c r="J16">
        <v>1.9852000000000001</v>
      </c>
      <c r="K16">
        <v>1.9852000000000001</v>
      </c>
      <c r="L16">
        <v>1.9852000000000001</v>
      </c>
      <c r="M16">
        <v>1.9852000000000001</v>
      </c>
      <c r="N16">
        <v>1.9852000000000001</v>
      </c>
      <c r="O16">
        <v>1.9852000000000001</v>
      </c>
      <c r="P16">
        <v>1.9852000000000001</v>
      </c>
      <c r="Q16">
        <v>1.9852000000000001</v>
      </c>
      <c r="R16"/>
    </row>
    <row r="17" spans="3:18" ht="15" x14ac:dyDescent="0.25">
      <c r="C17" s="26"/>
      <c r="D17" s="26"/>
      <c r="E17" s="26" t="s">
        <v>156</v>
      </c>
      <c r="F17">
        <v>78.954623999999995</v>
      </c>
      <c r="G17">
        <v>78.954623999999995</v>
      </c>
      <c r="H17">
        <v>78.954623999999995</v>
      </c>
      <c r="I17">
        <v>78.954623999999995</v>
      </c>
      <c r="J17">
        <v>78.954623999999995</v>
      </c>
      <c r="K17">
        <v>78.954623999999995</v>
      </c>
      <c r="L17">
        <v>78.954623999999995</v>
      </c>
      <c r="M17">
        <v>78.954623999999995</v>
      </c>
      <c r="N17">
        <v>78.954623999999995</v>
      </c>
      <c r="O17">
        <v>78.954623999999995</v>
      </c>
      <c r="P17">
        <v>78.954623999999995</v>
      </c>
      <c r="Q17">
        <v>78.954623999999995</v>
      </c>
      <c r="R17"/>
    </row>
    <row r="18" spans="3:18" ht="15" x14ac:dyDescent="0.25">
      <c r="C18" s="26"/>
      <c r="D18" s="26"/>
      <c r="E18" s="26" t="s">
        <v>159</v>
      </c>
      <c r="F18">
        <v>19.176079999999999</v>
      </c>
      <c r="G18">
        <v>19.176079999999999</v>
      </c>
      <c r="H18">
        <v>19.176079999999999</v>
      </c>
      <c r="I18">
        <v>19.176079999999999</v>
      </c>
      <c r="J18">
        <v>19.176079999999999</v>
      </c>
      <c r="K18">
        <v>19.176079999999999</v>
      </c>
      <c r="L18">
        <v>19.176079999999999</v>
      </c>
      <c r="M18">
        <v>19.176079999999999</v>
      </c>
      <c r="N18">
        <v>19.176079999999999</v>
      </c>
      <c r="O18">
        <v>19.176079999999999</v>
      </c>
      <c r="P18">
        <v>19.176079999999999</v>
      </c>
      <c r="Q18">
        <v>19.176079999999999</v>
      </c>
      <c r="R18"/>
    </row>
    <row r="19" spans="3:18" thickBot="1" x14ac:dyDescent="0.3">
      <c r="C19" s="26"/>
      <c r="D19" s="26"/>
      <c r="E19" s="26" t="s">
        <v>157</v>
      </c>
      <c r="F19" s="112">
        <v>14.527296</v>
      </c>
      <c r="G19" s="112">
        <v>14.527296</v>
      </c>
      <c r="H19" s="112">
        <v>14.527296</v>
      </c>
      <c r="I19" s="112">
        <v>14.527296</v>
      </c>
      <c r="J19" s="112">
        <v>14.527296</v>
      </c>
      <c r="K19" s="112">
        <v>14.527296</v>
      </c>
      <c r="L19" s="112">
        <v>14.527296</v>
      </c>
      <c r="M19" s="112">
        <v>14.527296</v>
      </c>
      <c r="N19" s="112">
        <v>14.527296</v>
      </c>
      <c r="O19" s="112">
        <v>14.527296</v>
      </c>
      <c r="P19" s="112">
        <v>14.527296</v>
      </c>
      <c r="Q19" s="112">
        <v>14.527296</v>
      </c>
      <c r="R19" s="112"/>
    </row>
    <row r="20" spans="3:18" ht="15" x14ac:dyDescent="0.25">
      <c r="C20" s="26" t="s">
        <v>246</v>
      </c>
      <c r="D20" s="26" t="s">
        <v>281</v>
      </c>
      <c r="E20" s="26" t="s">
        <v>156</v>
      </c>
      <c r="F20">
        <v>0.39200000000000002</v>
      </c>
      <c r="G20">
        <v>0.39200000000000002</v>
      </c>
      <c r="H20">
        <v>0.39200000000000002</v>
      </c>
      <c r="I20">
        <v>0.39200000000000002</v>
      </c>
      <c r="J20">
        <v>0.39200000000000002</v>
      </c>
      <c r="K20">
        <v>0.39200000000000002</v>
      </c>
      <c r="L20">
        <v>0.39200000000000002</v>
      </c>
      <c r="M20">
        <v>0.39200000000000002</v>
      </c>
      <c r="N20">
        <v>0.39200000000000002</v>
      </c>
      <c r="O20">
        <v>0.39200000000000002</v>
      </c>
      <c r="P20">
        <v>0.39200000000000002</v>
      </c>
      <c r="Q20">
        <v>0.39200000000000002</v>
      </c>
      <c r="R20"/>
    </row>
    <row r="21" spans="3:18" ht="15" x14ac:dyDescent="0.25">
      <c r="C21" s="26"/>
      <c r="D21" s="26"/>
      <c r="E21" s="26" t="s">
        <v>159</v>
      </c>
      <c r="F21"/>
      <c r="G21">
        <v>19.176079999999999</v>
      </c>
      <c r="H21">
        <v>19.176079999999999</v>
      </c>
      <c r="I21"/>
      <c r="J21">
        <v>19.176079999999999</v>
      </c>
      <c r="K21">
        <v>19.176079999999999</v>
      </c>
      <c r="L21">
        <v>19.176079999999999</v>
      </c>
      <c r="M21">
        <v>19.176079999999999</v>
      </c>
      <c r="N21">
        <v>19.176079999999999</v>
      </c>
      <c r="O21"/>
      <c r="P21"/>
      <c r="Q21"/>
      <c r="R21"/>
    </row>
    <row r="22" spans="3:18" ht="15" x14ac:dyDescent="0.25">
      <c r="C22" s="26"/>
      <c r="D22" s="26"/>
      <c r="E22" s="26" t="s">
        <v>157</v>
      </c>
      <c r="F22"/>
      <c r="G22"/>
      <c r="H22"/>
      <c r="I22"/>
      <c r="J22"/>
      <c r="K22"/>
      <c r="L22"/>
      <c r="M22"/>
      <c r="N22"/>
      <c r="O22"/>
      <c r="P22"/>
      <c r="Q22">
        <v>0.12729600000000099</v>
      </c>
      <c r="R22"/>
    </row>
    <row r="23" spans="3:18" ht="15" x14ac:dyDescent="0.25">
      <c r="C23" s="26"/>
      <c r="D23" s="26" t="s">
        <v>285</v>
      </c>
      <c r="E23" s="26" t="s">
        <v>158</v>
      </c>
      <c r="F23">
        <v>1.9852000000000001</v>
      </c>
      <c r="G23">
        <v>1.9852000000000001</v>
      </c>
      <c r="H23">
        <v>1.9852000000000001</v>
      </c>
      <c r="I23">
        <v>1.9852000000000001</v>
      </c>
      <c r="J23">
        <v>1.9852000000000001</v>
      </c>
      <c r="K23">
        <v>1.9852000000000001</v>
      </c>
      <c r="L23">
        <v>1.9852000000000001</v>
      </c>
      <c r="M23">
        <v>1.9852000000000001</v>
      </c>
      <c r="N23">
        <v>1.9852000000000001</v>
      </c>
      <c r="O23">
        <v>1.9852000000000001</v>
      </c>
      <c r="P23">
        <v>1.9852000000000001</v>
      </c>
      <c r="Q23">
        <v>1.9852000000000001</v>
      </c>
      <c r="R23"/>
    </row>
    <row r="24" spans="3:18" ht="15" x14ac:dyDescent="0.25">
      <c r="C24" s="26"/>
      <c r="D24" s="26"/>
      <c r="E24" s="26" t="s">
        <v>156</v>
      </c>
      <c r="F24">
        <v>78.954623999999995</v>
      </c>
      <c r="G24">
        <v>78.954623999999995</v>
      </c>
      <c r="H24">
        <v>78.954623999999995</v>
      </c>
      <c r="I24">
        <v>78.954623999999995</v>
      </c>
      <c r="J24">
        <v>78.954623999999995</v>
      </c>
      <c r="K24">
        <v>78.954623999999995</v>
      </c>
      <c r="L24">
        <v>78.954623999999995</v>
      </c>
      <c r="M24">
        <v>78.954623999999995</v>
      </c>
      <c r="N24">
        <v>78.954623999999995</v>
      </c>
      <c r="O24">
        <v>78.954623999999995</v>
      </c>
      <c r="P24">
        <v>78.954623999999995</v>
      </c>
      <c r="Q24">
        <v>78.954623999999995</v>
      </c>
      <c r="R24"/>
    </row>
    <row r="25" spans="3:18" ht="15" x14ac:dyDescent="0.25">
      <c r="C25" s="26"/>
      <c r="D25" s="26"/>
      <c r="E25" s="26" t="s">
        <v>159</v>
      </c>
      <c r="F25">
        <v>19.176079999999999</v>
      </c>
      <c r="G25">
        <v>19.176079999999999</v>
      </c>
      <c r="H25">
        <v>19.176079999999999</v>
      </c>
      <c r="I25">
        <v>19.176079999999999</v>
      </c>
      <c r="J25">
        <v>19.176079999999999</v>
      </c>
      <c r="K25">
        <v>19.176079999999999</v>
      </c>
      <c r="L25">
        <v>19.176079999999999</v>
      </c>
      <c r="M25">
        <v>19.176079999999999</v>
      </c>
      <c r="N25">
        <v>19.176079999999999</v>
      </c>
      <c r="O25">
        <v>19.176079999999999</v>
      </c>
      <c r="P25">
        <v>19.176079999999999</v>
      </c>
      <c r="Q25">
        <v>19.176079999999999</v>
      </c>
      <c r="R25"/>
    </row>
    <row r="26" spans="3:18" thickBot="1" x14ac:dyDescent="0.3">
      <c r="C26" s="26"/>
      <c r="D26" s="26"/>
      <c r="E26" s="26" t="s">
        <v>157</v>
      </c>
      <c r="F26" s="112">
        <v>14.527296</v>
      </c>
      <c r="G26" s="112">
        <v>14.527296</v>
      </c>
      <c r="H26" s="112">
        <v>14.527296</v>
      </c>
      <c r="I26" s="112">
        <v>14.527296</v>
      </c>
      <c r="J26" s="112">
        <v>14.527296</v>
      </c>
      <c r="K26" s="112">
        <v>14.527296</v>
      </c>
      <c r="L26" s="112">
        <v>14.527296</v>
      </c>
      <c r="M26" s="112">
        <v>14.527296</v>
      </c>
      <c r="N26" s="112">
        <v>14.527296</v>
      </c>
      <c r="O26" s="112">
        <v>14.527296</v>
      </c>
      <c r="P26" s="112">
        <v>14.527296</v>
      </c>
      <c r="Q26" s="112">
        <v>14.527296</v>
      </c>
      <c r="R26" s="112"/>
    </row>
    <row r="27" spans="3:18" ht="15" x14ac:dyDescent="0.25">
      <c r="C27" s="26" t="s">
        <v>109</v>
      </c>
      <c r="D27" s="26" t="s">
        <v>281</v>
      </c>
      <c r="E27" s="26" t="s">
        <v>154</v>
      </c>
      <c r="F27">
        <v>18.48</v>
      </c>
      <c r="G27">
        <v>18.48</v>
      </c>
      <c r="H27">
        <v>18.48</v>
      </c>
      <c r="I27">
        <v>18.48</v>
      </c>
      <c r="J27">
        <v>18.48</v>
      </c>
      <c r="K27">
        <v>18.48</v>
      </c>
      <c r="L27">
        <v>18.48</v>
      </c>
      <c r="M27">
        <v>18.48</v>
      </c>
      <c r="N27">
        <v>18.48</v>
      </c>
      <c r="O27">
        <v>18.48</v>
      </c>
      <c r="P27">
        <v>18.48</v>
      </c>
      <c r="Q27">
        <v>18.48</v>
      </c>
      <c r="R27"/>
    </row>
    <row r="28" spans="3:18" ht="15" x14ac:dyDescent="0.25">
      <c r="C28" s="26"/>
      <c r="D28" s="26"/>
      <c r="E28" s="26" t="s">
        <v>155</v>
      </c>
      <c r="F28">
        <v>0.4032</v>
      </c>
      <c r="G28">
        <v>0.4032</v>
      </c>
      <c r="H28">
        <v>0.4032</v>
      </c>
      <c r="I28">
        <v>0.4032</v>
      </c>
      <c r="J28">
        <v>0.4032</v>
      </c>
      <c r="K28">
        <v>0.4032</v>
      </c>
      <c r="L28">
        <v>0.4032</v>
      </c>
      <c r="M28">
        <v>0.4032</v>
      </c>
      <c r="N28">
        <v>0.4032</v>
      </c>
      <c r="O28">
        <v>0.4032</v>
      </c>
      <c r="P28">
        <v>0.4032</v>
      </c>
      <c r="Q28">
        <v>0.4032</v>
      </c>
      <c r="R28"/>
    </row>
    <row r="29" spans="3:18" ht="15" x14ac:dyDescent="0.25">
      <c r="C29" s="26"/>
      <c r="D29" s="26" t="s">
        <v>285</v>
      </c>
      <c r="E29" s="26" t="s">
        <v>158</v>
      </c>
      <c r="F29">
        <v>1.9852000000000001</v>
      </c>
      <c r="G29">
        <v>1.9852000000000001</v>
      </c>
      <c r="H29">
        <v>1.9852000000000001</v>
      </c>
      <c r="I29">
        <v>1.9852000000000001</v>
      </c>
      <c r="J29">
        <v>1.9852000000000001</v>
      </c>
      <c r="K29">
        <v>1.9852000000000001</v>
      </c>
      <c r="L29">
        <v>1.9852000000000001</v>
      </c>
      <c r="M29">
        <v>1.9852000000000001</v>
      </c>
      <c r="N29">
        <v>1.9852000000000001</v>
      </c>
      <c r="O29">
        <v>1.9852000000000001</v>
      </c>
      <c r="P29">
        <v>1.9852000000000001</v>
      </c>
      <c r="Q29">
        <v>1.9852000000000001</v>
      </c>
      <c r="R29"/>
    </row>
    <row r="30" spans="3:18" ht="15" x14ac:dyDescent="0.25">
      <c r="C30" s="26"/>
      <c r="D30" s="26"/>
      <c r="E30" s="26" t="s">
        <v>156</v>
      </c>
      <c r="F30">
        <v>78.954623999999995</v>
      </c>
      <c r="G30">
        <v>78.954623999999995</v>
      </c>
      <c r="H30">
        <v>78.954623999999995</v>
      </c>
      <c r="I30">
        <v>78.954623999999995</v>
      </c>
      <c r="J30">
        <v>78.954623999999995</v>
      </c>
      <c r="K30">
        <v>78.954623999999995</v>
      </c>
      <c r="L30">
        <v>78.954623999999995</v>
      </c>
      <c r="M30">
        <v>78.954623999999995</v>
      </c>
      <c r="N30">
        <v>78.954623999999995</v>
      </c>
      <c r="O30">
        <v>78.954623999999995</v>
      </c>
      <c r="P30">
        <v>78.954623999999995</v>
      </c>
      <c r="Q30">
        <v>78.954623999999995</v>
      </c>
      <c r="R30"/>
    </row>
    <row r="31" spans="3:18" ht="15" x14ac:dyDescent="0.25">
      <c r="C31" s="26"/>
      <c r="D31" s="26"/>
      <c r="E31" s="26" t="s">
        <v>159</v>
      </c>
      <c r="F31">
        <v>19.176079999999999</v>
      </c>
      <c r="G31">
        <v>19.176079999999999</v>
      </c>
      <c r="H31">
        <v>19.176079999999999</v>
      </c>
      <c r="I31">
        <v>19.176079999999999</v>
      </c>
      <c r="J31">
        <v>19.176079999999999</v>
      </c>
      <c r="K31">
        <v>19.176079999999999</v>
      </c>
      <c r="L31">
        <v>19.176079999999999</v>
      </c>
      <c r="M31">
        <v>19.176079999999999</v>
      </c>
      <c r="N31">
        <v>19.176079999999999</v>
      </c>
      <c r="O31">
        <v>19.176079999999999</v>
      </c>
      <c r="P31">
        <v>19.176079999999999</v>
      </c>
      <c r="Q31">
        <v>19.176079999999999</v>
      </c>
      <c r="R31"/>
    </row>
    <row r="32" spans="3:18" thickBot="1" x14ac:dyDescent="0.3">
      <c r="C32" s="26"/>
      <c r="D32" s="26"/>
      <c r="E32" s="26" t="s">
        <v>157</v>
      </c>
      <c r="F32" s="112">
        <v>14.527296</v>
      </c>
      <c r="G32" s="112">
        <v>14.527296</v>
      </c>
      <c r="H32" s="112">
        <v>14.527296</v>
      </c>
      <c r="I32" s="112">
        <v>14.527296</v>
      </c>
      <c r="J32" s="112">
        <v>14.527296</v>
      </c>
      <c r="K32" s="112">
        <v>14.527296</v>
      </c>
      <c r="L32" s="112">
        <v>14.527296</v>
      </c>
      <c r="M32" s="112">
        <v>14.527296</v>
      </c>
      <c r="N32" s="112">
        <v>14.527296</v>
      </c>
      <c r="O32" s="112">
        <v>14.527296</v>
      </c>
      <c r="P32" s="112">
        <v>14.527296</v>
      </c>
      <c r="Q32" s="112">
        <v>14.527296</v>
      </c>
      <c r="R32" s="112"/>
    </row>
    <row r="33" spans="3:18" ht="15" x14ac:dyDescent="0.25">
      <c r="C33" s="26" t="s">
        <v>110</v>
      </c>
      <c r="D33" s="26" t="s">
        <v>281</v>
      </c>
      <c r="E33" s="26" t="s">
        <v>154</v>
      </c>
      <c r="F33">
        <v>38.64</v>
      </c>
      <c r="G33">
        <v>38.64</v>
      </c>
      <c r="H33">
        <v>38.64</v>
      </c>
      <c r="I33">
        <v>38.64</v>
      </c>
      <c r="J33">
        <v>38.64</v>
      </c>
      <c r="K33">
        <v>38.64</v>
      </c>
      <c r="L33">
        <v>38.64</v>
      </c>
      <c r="M33">
        <v>38.64</v>
      </c>
      <c r="N33">
        <v>38.64</v>
      </c>
      <c r="O33">
        <v>38.64</v>
      </c>
      <c r="P33">
        <v>38.64</v>
      </c>
      <c r="Q33">
        <v>38.64</v>
      </c>
      <c r="R33"/>
    </row>
    <row r="34" spans="3:18" ht="15" x14ac:dyDescent="0.25">
      <c r="C34" s="26"/>
      <c r="D34" s="26"/>
      <c r="E34" s="26" t="s">
        <v>155</v>
      </c>
      <c r="F34">
        <v>2.6880000000000002</v>
      </c>
      <c r="G34">
        <v>2.6880000000000002</v>
      </c>
      <c r="H34">
        <v>2.6880000000000002</v>
      </c>
      <c r="I34">
        <v>2.6880000000000002</v>
      </c>
      <c r="J34">
        <v>2.6880000000000002</v>
      </c>
      <c r="K34">
        <v>2.6880000000000002</v>
      </c>
      <c r="L34">
        <v>2.6880000000000002</v>
      </c>
      <c r="M34">
        <v>2.6880000000000002</v>
      </c>
      <c r="N34">
        <v>2.6880000000000002</v>
      </c>
      <c r="O34">
        <v>2.6880000000000002</v>
      </c>
      <c r="P34">
        <v>2.6880000000000002</v>
      </c>
      <c r="Q34">
        <v>2.6880000000000002</v>
      </c>
      <c r="R34"/>
    </row>
    <row r="35" spans="3:18" ht="15" x14ac:dyDescent="0.25">
      <c r="C35" s="26"/>
      <c r="D35" s="26" t="s">
        <v>285</v>
      </c>
      <c r="E35" s="26" t="s">
        <v>158</v>
      </c>
      <c r="F35">
        <v>1.9852000000000001</v>
      </c>
      <c r="G35">
        <v>1.9852000000000001</v>
      </c>
      <c r="H35">
        <v>1.9852000000000001</v>
      </c>
      <c r="I35">
        <v>1.9852000000000001</v>
      </c>
      <c r="J35">
        <v>1.9852000000000001</v>
      </c>
      <c r="K35">
        <v>1.9852000000000001</v>
      </c>
      <c r="L35">
        <v>1.9852000000000001</v>
      </c>
      <c r="M35">
        <v>1.9852000000000001</v>
      </c>
      <c r="N35">
        <v>1.9852000000000001</v>
      </c>
      <c r="O35">
        <v>1.9852000000000001</v>
      </c>
      <c r="P35">
        <v>1.9852000000000001</v>
      </c>
      <c r="Q35">
        <v>1.9852000000000001</v>
      </c>
      <c r="R35"/>
    </row>
    <row r="36" spans="3:18" ht="15" x14ac:dyDescent="0.25">
      <c r="C36" s="26"/>
      <c r="D36" s="26"/>
      <c r="E36" s="26" t="s">
        <v>156</v>
      </c>
      <c r="F36">
        <v>78.954623999999995</v>
      </c>
      <c r="G36">
        <v>78.954623999999995</v>
      </c>
      <c r="H36">
        <v>78.954623999999995</v>
      </c>
      <c r="I36">
        <v>78.954623999999995</v>
      </c>
      <c r="J36">
        <v>78.954623999999995</v>
      </c>
      <c r="K36">
        <v>78.954623999999995</v>
      </c>
      <c r="L36">
        <v>78.954623999999995</v>
      </c>
      <c r="M36">
        <v>78.954623999999995</v>
      </c>
      <c r="N36">
        <v>78.954623999999995</v>
      </c>
      <c r="O36">
        <v>78.954623999999995</v>
      </c>
      <c r="P36">
        <v>78.954623999999995</v>
      </c>
      <c r="Q36">
        <v>78.954623999999995</v>
      </c>
      <c r="R36"/>
    </row>
    <row r="37" spans="3:18" ht="15" x14ac:dyDescent="0.25">
      <c r="C37" s="26"/>
      <c r="D37" s="26"/>
      <c r="E37" s="26" t="s">
        <v>159</v>
      </c>
      <c r="F37">
        <v>19.176079999999999</v>
      </c>
      <c r="G37">
        <v>19.176079999999999</v>
      </c>
      <c r="H37">
        <v>19.176079999999999</v>
      </c>
      <c r="I37">
        <v>19.176079999999999</v>
      </c>
      <c r="J37">
        <v>19.176079999999999</v>
      </c>
      <c r="K37">
        <v>19.176079999999999</v>
      </c>
      <c r="L37">
        <v>19.176079999999999</v>
      </c>
      <c r="M37">
        <v>19.176079999999999</v>
      </c>
      <c r="N37">
        <v>19.176079999999999</v>
      </c>
      <c r="O37">
        <v>19.176079999999999</v>
      </c>
      <c r="P37">
        <v>19.176079999999999</v>
      </c>
      <c r="Q37">
        <v>19.176079999999999</v>
      </c>
      <c r="R37"/>
    </row>
    <row r="38" spans="3:18" thickBot="1" x14ac:dyDescent="0.3">
      <c r="C38" s="26"/>
      <c r="D38" s="26"/>
      <c r="E38" s="26" t="s">
        <v>157</v>
      </c>
      <c r="F38" s="112">
        <v>14.527296</v>
      </c>
      <c r="G38" s="112">
        <v>14.527296</v>
      </c>
      <c r="H38" s="112">
        <v>14.527296</v>
      </c>
      <c r="I38" s="112">
        <v>14.527296</v>
      </c>
      <c r="J38" s="112">
        <v>14.527296</v>
      </c>
      <c r="K38" s="112">
        <v>14.527296</v>
      </c>
      <c r="L38" s="112">
        <v>14.527296</v>
      </c>
      <c r="M38" s="112">
        <v>14.527296</v>
      </c>
      <c r="N38" s="112">
        <v>14.527296</v>
      </c>
      <c r="O38" s="112">
        <v>14.527296</v>
      </c>
      <c r="P38" s="112">
        <v>14.527296</v>
      </c>
      <c r="Q38" s="112">
        <v>14.527296</v>
      </c>
      <c r="R38" s="112"/>
    </row>
    <row r="39" spans="3:18" ht="15" x14ac:dyDescent="0.25">
      <c r="C39" s="26" t="s">
        <v>111</v>
      </c>
      <c r="D39" s="26" t="s">
        <v>281</v>
      </c>
      <c r="E39" s="26" t="s">
        <v>154</v>
      </c>
      <c r="F39">
        <v>38.64</v>
      </c>
      <c r="G39">
        <v>38.64</v>
      </c>
      <c r="H39">
        <v>38.64</v>
      </c>
      <c r="I39">
        <v>38.64</v>
      </c>
      <c r="J39">
        <v>38.64</v>
      </c>
      <c r="K39">
        <v>38.64</v>
      </c>
      <c r="L39">
        <v>38.64</v>
      </c>
      <c r="M39">
        <v>38.64</v>
      </c>
      <c r="N39">
        <v>38.64</v>
      </c>
      <c r="O39">
        <v>38.64</v>
      </c>
      <c r="P39">
        <v>38.64</v>
      </c>
      <c r="Q39">
        <v>38.64</v>
      </c>
      <c r="R39"/>
    </row>
    <row r="40" spans="3:18" ht="15" x14ac:dyDescent="0.25">
      <c r="C40" s="26"/>
      <c r="D40" s="26"/>
      <c r="E40" s="26" t="s">
        <v>155</v>
      </c>
      <c r="F40">
        <v>2.016</v>
      </c>
      <c r="G40">
        <v>2.016</v>
      </c>
      <c r="H40">
        <v>2.016</v>
      </c>
      <c r="I40">
        <v>2.016</v>
      </c>
      <c r="J40">
        <v>2.016</v>
      </c>
      <c r="K40">
        <v>2.016</v>
      </c>
      <c r="L40">
        <v>2.016</v>
      </c>
      <c r="M40">
        <v>2.016</v>
      </c>
      <c r="N40">
        <v>2.016</v>
      </c>
      <c r="O40">
        <v>2.016</v>
      </c>
      <c r="P40">
        <v>2.016</v>
      </c>
      <c r="Q40">
        <v>2.016</v>
      </c>
      <c r="R40"/>
    </row>
    <row r="41" spans="3:18" ht="15" x14ac:dyDescent="0.25">
      <c r="C41" s="26"/>
      <c r="D41" s="26" t="s">
        <v>285</v>
      </c>
      <c r="E41" s="26" t="s">
        <v>158</v>
      </c>
      <c r="F41">
        <v>1.9852000000000001</v>
      </c>
      <c r="G41">
        <v>1.9852000000000001</v>
      </c>
      <c r="H41">
        <v>1.9852000000000001</v>
      </c>
      <c r="I41">
        <v>1.9852000000000001</v>
      </c>
      <c r="J41">
        <v>1.9852000000000001</v>
      </c>
      <c r="K41">
        <v>1.9852000000000001</v>
      </c>
      <c r="L41">
        <v>1.9852000000000001</v>
      </c>
      <c r="M41">
        <v>1.9852000000000001</v>
      </c>
      <c r="N41">
        <v>1.9852000000000001</v>
      </c>
      <c r="O41">
        <v>1.9852000000000001</v>
      </c>
      <c r="P41">
        <v>1.9852000000000001</v>
      </c>
      <c r="Q41">
        <v>1.9852000000000001</v>
      </c>
      <c r="R41"/>
    </row>
    <row r="42" spans="3:18" ht="15" x14ac:dyDescent="0.25">
      <c r="C42" s="26"/>
      <c r="D42" s="26"/>
      <c r="E42" s="26" t="s">
        <v>156</v>
      </c>
      <c r="F42">
        <v>78.954623999999995</v>
      </c>
      <c r="G42">
        <v>78.954623999999995</v>
      </c>
      <c r="H42">
        <v>78.954623999999995</v>
      </c>
      <c r="I42">
        <v>78.954623999999995</v>
      </c>
      <c r="J42">
        <v>78.954623999999995</v>
      </c>
      <c r="K42">
        <v>78.954623999999995</v>
      </c>
      <c r="L42">
        <v>78.954623999999995</v>
      </c>
      <c r="M42">
        <v>78.954623999999995</v>
      </c>
      <c r="N42">
        <v>78.954623999999995</v>
      </c>
      <c r="O42">
        <v>78.954623999999995</v>
      </c>
      <c r="P42">
        <v>78.954623999999995</v>
      </c>
      <c r="Q42">
        <v>78.954623999999995</v>
      </c>
      <c r="R42"/>
    </row>
    <row r="43" spans="3:18" ht="15" x14ac:dyDescent="0.25">
      <c r="C43" s="26"/>
      <c r="D43" s="26"/>
      <c r="E43" s="26" t="s">
        <v>159</v>
      </c>
      <c r="F43">
        <v>19.176079999999999</v>
      </c>
      <c r="G43">
        <v>19.176079999999999</v>
      </c>
      <c r="H43">
        <v>19.176079999999999</v>
      </c>
      <c r="I43">
        <v>19.176079999999999</v>
      </c>
      <c r="J43">
        <v>19.176079999999999</v>
      </c>
      <c r="K43">
        <v>19.176079999999999</v>
      </c>
      <c r="L43">
        <v>19.176079999999999</v>
      </c>
      <c r="M43">
        <v>19.176079999999999</v>
      </c>
      <c r="N43">
        <v>19.176079999999999</v>
      </c>
      <c r="O43">
        <v>19.176079999999999</v>
      </c>
      <c r="P43">
        <v>19.176079999999999</v>
      </c>
      <c r="Q43">
        <v>19.176079999999999</v>
      </c>
      <c r="R43"/>
    </row>
    <row r="44" spans="3:18" thickBot="1" x14ac:dyDescent="0.3">
      <c r="C44" s="26"/>
      <c r="D44" s="26"/>
      <c r="E44" s="26" t="s">
        <v>157</v>
      </c>
      <c r="F44" s="112">
        <v>14.527296</v>
      </c>
      <c r="G44" s="112">
        <v>14.527296</v>
      </c>
      <c r="H44" s="112">
        <v>14.527296</v>
      </c>
      <c r="I44" s="112">
        <v>14.527296</v>
      </c>
      <c r="J44" s="112">
        <v>14.527296</v>
      </c>
      <c r="K44" s="112">
        <v>14.527296</v>
      </c>
      <c r="L44" s="112">
        <v>14.527296</v>
      </c>
      <c r="M44" s="112">
        <v>14.527296</v>
      </c>
      <c r="N44" s="112">
        <v>14.527296</v>
      </c>
      <c r="O44" s="112">
        <v>14.527296</v>
      </c>
      <c r="P44" s="112">
        <v>14.527296</v>
      </c>
      <c r="Q44" s="112">
        <v>14.527296</v>
      </c>
      <c r="R44" s="112"/>
    </row>
    <row r="45" spans="3:18" ht="15" x14ac:dyDescent="0.25">
      <c r="C45" s="26" t="s">
        <v>108</v>
      </c>
      <c r="D45" s="26" t="s">
        <v>281</v>
      </c>
      <c r="E45" s="26" t="s">
        <v>156</v>
      </c>
      <c r="F45">
        <v>12.992000000000001</v>
      </c>
      <c r="G45">
        <v>12.992000000000001</v>
      </c>
      <c r="H45">
        <v>12.992000000000001</v>
      </c>
      <c r="I45">
        <v>12.992000000000001</v>
      </c>
      <c r="J45">
        <v>12.992000000000001</v>
      </c>
      <c r="K45">
        <v>12.992000000000001</v>
      </c>
      <c r="L45">
        <v>12.992000000000001</v>
      </c>
      <c r="M45">
        <v>12.992000000000001</v>
      </c>
      <c r="N45">
        <v>12.992000000000001</v>
      </c>
      <c r="O45">
        <v>12.992000000000001</v>
      </c>
      <c r="P45">
        <v>12.992000000000001</v>
      </c>
      <c r="Q45">
        <v>12.992000000000001</v>
      </c>
      <c r="R45"/>
    </row>
    <row r="46" spans="3:18" ht="15" x14ac:dyDescent="0.25">
      <c r="C46" s="26"/>
      <c r="D46" s="26" t="s">
        <v>285</v>
      </c>
      <c r="E46" s="26" t="s">
        <v>158</v>
      </c>
      <c r="F46">
        <v>1.9852000000000001</v>
      </c>
      <c r="G46">
        <v>1.9852000000000001</v>
      </c>
      <c r="H46">
        <v>1.9852000000000001</v>
      </c>
      <c r="I46">
        <v>1.9852000000000001</v>
      </c>
      <c r="J46">
        <v>1.9852000000000001</v>
      </c>
      <c r="K46">
        <v>1.9852000000000001</v>
      </c>
      <c r="L46">
        <v>1.9852000000000001</v>
      </c>
      <c r="M46">
        <v>1.9852000000000001</v>
      </c>
      <c r="N46">
        <v>1.9852000000000001</v>
      </c>
      <c r="O46">
        <v>1.9852000000000001</v>
      </c>
      <c r="P46">
        <v>1.9852000000000001</v>
      </c>
      <c r="Q46">
        <v>1.9852000000000001</v>
      </c>
      <c r="R46"/>
    </row>
    <row r="47" spans="3:18" ht="15" x14ac:dyDescent="0.25">
      <c r="C47" s="26"/>
      <c r="D47" s="26"/>
      <c r="E47" s="26" t="s">
        <v>156</v>
      </c>
      <c r="F47">
        <v>78.954623999999995</v>
      </c>
      <c r="G47">
        <v>78.954623999999995</v>
      </c>
      <c r="H47">
        <v>78.954623999999995</v>
      </c>
      <c r="I47">
        <v>78.954623999999995</v>
      </c>
      <c r="J47">
        <v>78.954623999999995</v>
      </c>
      <c r="K47">
        <v>78.954623999999995</v>
      </c>
      <c r="L47">
        <v>78.954623999999995</v>
      </c>
      <c r="M47">
        <v>78.954623999999995</v>
      </c>
      <c r="N47">
        <v>78.954623999999995</v>
      </c>
      <c r="O47">
        <v>78.954623999999995</v>
      </c>
      <c r="P47">
        <v>78.954623999999995</v>
      </c>
      <c r="Q47">
        <v>78.954623999999995</v>
      </c>
      <c r="R47"/>
    </row>
    <row r="48" spans="3:18" ht="15" x14ac:dyDescent="0.25">
      <c r="C48" s="26"/>
      <c r="D48" s="26"/>
      <c r="E48" s="26" t="s">
        <v>159</v>
      </c>
      <c r="F48">
        <v>19.176079999999999</v>
      </c>
      <c r="G48">
        <v>19.176079999999999</v>
      </c>
      <c r="H48">
        <v>19.176079999999999</v>
      </c>
      <c r="I48">
        <v>19.176079999999999</v>
      </c>
      <c r="J48">
        <v>19.176079999999999</v>
      </c>
      <c r="K48">
        <v>19.176079999999999</v>
      </c>
      <c r="L48">
        <v>19.176079999999999</v>
      </c>
      <c r="M48">
        <v>19.176079999999999</v>
      </c>
      <c r="N48">
        <v>19.176079999999999</v>
      </c>
      <c r="O48">
        <v>19.176079999999999</v>
      </c>
      <c r="P48">
        <v>19.176079999999999</v>
      </c>
      <c r="Q48">
        <v>19.176079999999999</v>
      </c>
      <c r="R48"/>
    </row>
    <row r="49" spans="3:18" thickBot="1" x14ac:dyDescent="0.3">
      <c r="C49" s="26"/>
      <c r="D49" s="26"/>
      <c r="E49" s="26" t="s">
        <v>157</v>
      </c>
      <c r="F49" s="112">
        <v>14.527296</v>
      </c>
      <c r="G49" s="112">
        <v>14.527296</v>
      </c>
      <c r="H49" s="112">
        <v>14.527296</v>
      </c>
      <c r="I49" s="112">
        <v>14.527296</v>
      </c>
      <c r="J49" s="112">
        <v>14.527296</v>
      </c>
      <c r="K49" s="112">
        <v>14.527296</v>
      </c>
      <c r="L49" s="112">
        <v>14.527296</v>
      </c>
      <c r="M49" s="112">
        <v>14.527296</v>
      </c>
      <c r="N49" s="112">
        <v>14.527296</v>
      </c>
      <c r="O49" s="112">
        <v>14.527296</v>
      </c>
      <c r="P49" s="112">
        <v>14.527296</v>
      </c>
      <c r="Q49" s="112">
        <v>14.527296</v>
      </c>
      <c r="R49" s="112"/>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R46"/>
  <sheetViews>
    <sheetView topLeftCell="A4" workbookViewId="0">
      <selection activeCell="D19" sqref="D19"/>
    </sheetView>
  </sheetViews>
  <sheetFormatPr defaultColWidth="9.28515625" defaultRowHeight="15.75" x14ac:dyDescent="0.25"/>
  <cols>
    <col min="3" max="3" width="4.7109375" style="109" bestFit="1" customWidth="1"/>
    <col min="4" max="4" width="12.7109375" bestFit="1" customWidth="1"/>
    <col min="5" max="5" width="9.5703125" bestFit="1" customWidth="1"/>
    <col min="6" max="17" width="10.7109375" bestFit="1" customWidth="1"/>
  </cols>
  <sheetData>
    <row r="1" spans="1:18" s="62" customFormat="1" x14ac:dyDescent="0.25">
      <c r="C1" s="109"/>
      <c r="E1" s="29"/>
    </row>
    <row r="2" spans="1:18" s="62" customFormat="1" x14ac:dyDescent="0.25">
      <c r="C2" s="109"/>
      <c r="E2" s="29"/>
    </row>
    <row r="3" spans="1:18" s="62" customFormat="1" ht="33.75" x14ac:dyDescent="0.5">
      <c r="C3" s="109"/>
      <c r="D3" s="126" t="s">
        <v>289</v>
      </c>
      <c r="E3" s="29"/>
    </row>
    <row r="4" spans="1:18" s="62" customFormat="1" x14ac:dyDescent="0.25">
      <c r="C4" s="109"/>
      <c r="E4" s="29"/>
    </row>
    <row r="5" spans="1:18" s="62" customFormat="1" x14ac:dyDescent="0.25">
      <c r="C5" s="109"/>
      <c r="E5" s="29"/>
    </row>
    <row r="6" spans="1:18" s="62" customFormat="1" x14ac:dyDescent="0.25">
      <c r="C6" s="109"/>
      <c r="E6" s="29"/>
    </row>
    <row r="7" spans="1:18" s="38" customFormat="1" ht="21" x14ac:dyDescent="0.35">
      <c r="A7" s="118" t="s">
        <v>288</v>
      </c>
      <c r="C7" s="117"/>
      <c r="F7" s="8"/>
      <c r="G7" s="8"/>
      <c r="H7" s="8"/>
      <c r="I7" s="8"/>
      <c r="J7" s="8"/>
      <c r="K7" s="8"/>
      <c r="L7" s="8"/>
      <c r="M7" s="8"/>
      <c r="N7" s="8"/>
      <c r="O7" s="8"/>
      <c r="P7" s="8"/>
      <c r="Q7" s="8"/>
      <c r="R7" s="8"/>
    </row>
    <row r="8" spans="1:18" x14ac:dyDescent="0.25">
      <c r="A8" s="121" t="s">
        <v>286</v>
      </c>
      <c r="F8" s="8"/>
      <c r="G8" s="8"/>
      <c r="H8" s="8"/>
      <c r="I8" s="8"/>
      <c r="J8" s="8"/>
      <c r="K8" s="8"/>
      <c r="L8" s="8"/>
      <c r="M8" s="8"/>
      <c r="N8" s="8"/>
      <c r="O8" s="8"/>
      <c r="P8" s="8"/>
      <c r="Q8" s="8"/>
      <c r="R8" s="8"/>
    </row>
    <row r="9" spans="1:18" x14ac:dyDescent="0.25">
      <c r="F9" s="8"/>
      <c r="G9" s="8"/>
      <c r="H9" s="8"/>
      <c r="I9" s="8"/>
      <c r="J9" s="8"/>
      <c r="K9" s="8"/>
      <c r="L9" s="8"/>
      <c r="M9" s="8"/>
      <c r="N9" s="8"/>
      <c r="O9" s="8"/>
      <c r="P9" s="8"/>
      <c r="Q9" s="8"/>
      <c r="R9" s="8"/>
    </row>
    <row r="10" spans="1:18" x14ac:dyDescent="0.25">
      <c r="E10" s="32" t="s">
        <v>278</v>
      </c>
      <c r="F10" s="8">
        <v>1</v>
      </c>
      <c r="G10" s="8">
        <v>2</v>
      </c>
      <c r="H10" s="8">
        <v>3</v>
      </c>
      <c r="I10" s="8">
        <v>4</v>
      </c>
      <c r="J10" s="8">
        <v>5</v>
      </c>
      <c r="K10" s="8">
        <v>6</v>
      </c>
      <c r="L10" s="8">
        <v>7</v>
      </c>
      <c r="M10" s="8">
        <v>8</v>
      </c>
      <c r="N10" s="8">
        <v>9</v>
      </c>
      <c r="O10" s="8">
        <v>10</v>
      </c>
      <c r="P10" s="8">
        <v>11</v>
      </c>
      <c r="Q10" s="8">
        <v>12</v>
      </c>
      <c r="R10" s="8"/>
    </row>
    <row r="11" spans="1:18" x14ac:dyDescent="0.25">
      <c r="E11" s="32" t="s">
        <v>279</v>
      </c>
      <c r="F11" s="120">
        <v>43709</v>
      </c>
      <c r="G11" s="119">
        <f>F11+F12</f>
        <v>43716</v>
      </c>
      <c r="H11" s="119">
        <f t="shared" ref="H11:Q11" si="0">G11+G12</f>
        <v>43723</v>
      </c>
      <c r="I11" s="119">
        <f>H11+H12</f>
        <v>43730</v>
      </c>
      <c r="J11" s="119">
        <f>I11+I12</f>
        <v>43737</v>
      </c>
      <c r="K11" s="119">
        <f t="shared" si="0"/>
        <v>43744</v>
      </c>
      <c r="L11" s="119">
        <f t="shared" si="0"/>
        <v>43751</v>
      </c>
      <c r="M11" s="119">
        <f t="shared" si="0"/>
        <v>43758</v>
      </c>
      <c r="N11" s="119">
        <f t="shared" si="0"/>
        <v>43765</v>
      </c>
      <c r="O11" s="119">
        <f t="shared" si="0"/>
        <v>43772</v>
      </c>
      <c r="P11" s="119">
        <f t="shared" si="0"/>
        <v>43779</v>
      </c>
      <c r="Q11" s="119">
        <f t="shared" si="0"/>
        <v>43786</v>
      </c>
    </row>
    <row r="12" spans="1:18" ht="16.5" thickBot="1" x14ac:dyDescent="0.3">
      <c r="E12" s="110" t="s">
        <v>280</v>
      </c>
      <c r="F12" s="111">
        <v>7</v>
      </c>
      <c r="G12" s="111">
        <v>7</v>
      </c>
      <c r="H12" s="111">
        <v>7</v>
      </c>
      <c r="I12" s="111">
        <v>7</v>
      </c>
      <c r="J12" s="111">
        <v>7</v>
      </c>
      <c r="K12" s="111">
        <v>7</v>
      </c>
      <c r="L12" s="111">
        <v>7</v>
      </c>
      <c r="M12" s="111">
        <v>7</v>
      </c>
      <c r="N12" s="111">
        <v>7</v>
      </c>
      <c r="O12" s="111">
        <v>7</v>
      </c>
      <c r="P12" s="111">
        <v>7</v>
      </c>
      <c r="Q12" s="111">
        <v>7</v>
      </c>
      <c r="R12" s="8"/>
    </row>
    <row r="13" spans="1:18" x14ac:dyDescent="0.25">
      <c r="F13" s="32" t="s">
        <v>210</v>
      </c>
      <c r="G13" s="32" t="s">
        <v>210</v>
      </c>
      <c r="H13" s="32" t="s">
        <v>210</v>
      </c>
      <c r="I13" s="32" t="s">
        <v>210</v>
      </c>
      <c r="J13" s="32" t="s">
        <v>210</v>
      </c>
      <c r="K13" s="32" t="s">
        <v>210</v>
      </c>
      <c r="L13" s="32" t="s">
        <v>210</v>
      </c>
      <c r="M13" s="32" t="s">
        <v>210</v>
      </c>
      <c r="N13" s="32" t="s">
        <v>210</v>
      </c>
      <c r="O13" s="32" t="s">
        <v>210</v>
      </c>
      <c r="P13" s="32" t="s">
        <v>210</v>
      </c>
      <c r="Q13" s="32" t="s">
        <v>210</v>
      </c>
    </row>
    <row r="14" spans="1:18" x14ac:dyDescent="0.25">
      <c r="C14" s="124" t="s">
        <v>112</v>
      </c>
      <c r="D14" s="115" t="s">
        <v>281</v>
      </c>
      <c r="E14" s="115" t="s">
        <v>156</v>
      </c>
      <c r="F14" s="122">
        <v>0.39200000000000002</v>
      </c>
      <c r="G14" s="122">
        <v>0.39200000000000002</v>
      </c>
      <c r="H14" s="122">
        <v>0.39200000000000002</v>
      </c>
      <c r="I14" s="122">
        <v>0.39200000000000002</v>
      </c>
      <c r="J14" s="122">
        <v>0.39200000000000002</v>
      </c>
      <c r="K14" s="122">
        <v>0.39200000000000002</v>
      </c>
      <c r="L14" s="122">
        <v>0.39200000000000002</v>
      </c>
      <c r="M14" s="122">
        <v>0.39200000000000002</v>
      </c>
      <c r="N14" s="122">
        <v>0.39200000000000002</v>
      </c>
      <c r="O14" s="122">
        <v>0.39200000000000002</v>
      </c>
      <c r="P14" s="122">
        <v>0.39200000000000002</v>
      </c>
      <c r="Q14" s="122">
        <v>0.39200000000000002</v>
      </c>
    </row>
    <row r="15" spans="1:18" x14ac:dyDescent="0.25">
      <c r="C15" s="124"/>
      <c r="D15" s="115" t="s">
        <v>285</v>
      </c>
      <c r="E15" s="115" t="s">
        <v>158</v>
      </c>
      <c r="F15" s="122">
        <v>1.9852000000000001</v>
      </c>
      <c r="G15" s="122">
        <v>1.9852000000000001</v>
      </c>
      <c r="H15" s="122">
        <v>1.9852000000000001</v>
      </c>
      <c r="I15" s="122">
        <v>1.9852000000000001</v>
      </c>
      <c r="J15" s="122">
        <v>1.9852000000000001</v>
      </c>
      <c r="K15" s="122">
        <v>1.9852000000000001</v>
      </c>
      <c r="L15" s="122">
        <v>1.9852000000000001</v>
      </c>
      <c r="M15" s="122">
        <v>1.9852000000000001</v>
      </c>
      <c r="N15" s="122">
        <v>1.9852000000000001</v>
      </c>
      <c r="O15" s="122">
        <v>1.9852000000000001</v>
      </c>
      <c r="P15" s="122">
        <v>1.9852000000000001</v>
      </c>
      <c r="Q15" s="122">
        <v>1.9852000000000001</v>
      </c>
    </row>
    <row r="16" spans="1:18" x14ac:dyDescent="0.25">
      <c r="C16" s="124"/>
      <c r="D16" s="115"/>
      <c r="E16" s="115" t="s">
        <v>156</v>
      </c>
      <c r="F16" s="122">
        <v>78.954623999999995</v>
      </c>
      <c r="G16" s="122">
        <v>78.954623999999995</v>
      </c>
      <c r="H16" s="122">
        <v>78.954623999999995</v>
      </c>
      <c r="I16" s="122">
        <v>78.954623999999995</v>
      </c>
      <c r="J16" s="122">
        <v>78.954623999999995</v>
      </c>
      <c r="K16" s="122">
        <v>78.954623999999995</v>
      </c>
      <c r="L16" s="122">
        <v>78.954623999999995</v>
      </c>
      <c r="M16" s="122">
        <v>78.954623999999995</v>
      </c>
      <c r="N16" s="122">
        <v>78.954623999999995</v>
      </c>
      <c r="O16" s="122">
        <v>78.954623999999995</v>
      </c>
      <c r="P16" s="122">
        <v>78.954623999999995</v>
      </c>
      <c r="Q16" s="122">
        <v>78.954623999999995</v>
      </c>
    </row>
    <row r="17" spans="3:17" x14ac:dyDescent="0.25">
      <c r="C17" s="124"/>
      <c r="D17" s="115"/>
      <c r="E17" s="115" t="s">
        <v>159</v>
      </c>
      <c r="F17" s="122">
        <v>19.176079999999999</v>
      </c>
      <c r="G17" s="122">
        <v>19.176079999999999</v>
      </c>
      <c r="H17" s="122">
        <v>19.176079999999999</v>
      </c>
      <c r="I17" s="122">
        <v>19.176079999999999</v>
      </c>
      <c r="J17" s="122">
        <v>19.176079999999999</v>
      </c>
      <c r="K17" s="122">
        <v>19.176079999999999</v>
      </c>
      <c r="L17" s="122">
        <v>19.176079999999999</v>
      </c>
      <c r="M17" s="122">
        <v>19.176079999999999</v>
      </c>
      <c r="N17" s="122">
        <v>19.176079999999999</v>
      </c>
      <c r="O17" s="122">
        <v>19.176079999999999</v>
      </c>
      <c r="P17" s="122">
        <v>19.176079999999999</v>
      </c>
      <c r="Q17" s="122">
        <v>19.176079999999999</v>
      </c>
    </row>
    <row r="18" spans="3:17" x14ac:dyDescent="0.25">
      <c r="C18" s="124"/>
      <c r="D18" s="115"/>
      <c r="E18" s="115" t="s">
        <v>157</v>
      </c>
      <c r="F18" s="122">
        <v>14.527296</v>
      </c>
      <c r="G18" s="122">
        <v>14.527296</v>
      </c>
      <c r="H18" s="122">
        <v>14.527296</v>
      </c>
      <c r="I18" s="122">
        <v>14.527296</v>
      </c>
      <c r="J18" s="122">
        <v>14.527296</v>
      </c>
      <c r="K18" s="122">
        <v>14.527296</v>
      </c>
      <c r="L18" s="122">
        <v>14.527296</v>
      </c>
      <c r="M18" s="122">
        <v>14.527296</v>
      </c>
      <c r="N18" s="122">
        <v>14.527296</v>
      </c>
      <c r="O18" s="122">
        <v>14.527296</v>
      </c>
      <c r="P18" s="122">
        <v>14.527296</v>
      </c>
      <c r="Q18" s="122">
        <v>14.527296</v>
      </c>
    </row>
    <row r="19" spans="3:17" x14ac:dyDescent="0.25">
      <c r="C19" s="125" t="s">
        <v>246</v>
      </c>
      <c r="D19" s="115" t="s">
        <v>281</v>
      </c>
      <c r="E19" s="116" t="s">
        <v>156</v>
      </c>
      <c r="F19" s="123">
        <v>0.39200000000000002</v>
      </c>
      <c r="G19" s="123">
        <v>0.39200000000000002</v>
      </c>
      <c r="H19" s="123">
        <v>0.39200000000000002</v>
      </c>
      <c r="I19" s="123">
        <v>0.39200000000000002</v>
      </c>
      <c r="J19" s="123">
        <v>0.39200000000000002</v>
      </c>
      <c r="K19" s="123">
        <v>0.39200000000000002</v>
      </c>
      <c r="L19" s="123">
        <v>0.39200000000000002</v>
      </c>
      <c r="M19" s="123">
        <v>0.39200000000000002</v>
      </c>
      <c r="N19" s="123">
        <v>0.39200000000000002</v>
      </c>
      <c r="O19" s="123">
        <v>0.39200000000000002</v>
      </c>
      <c r="P19" s="123">
        <v>0.39200000000000002</v>
      </c>
      <c r="Q19" s="123">
        <v>0.39200000000000002</v>
      </c>
    </row>
    <row r="20" spans="3:17" x14ac:dyDescent="0.25">
      <c r="C20" s="125"/>
      <c r="D20" s="116" t="s">
        <v>285</v>
      </c>
      <c r="E20" s="116" t="s">
        <v>158</v>
      </c>
      <c r="F20" s="123">
        <v>1.9852000000000001</v>
      </c>
      <c r="G20" s="123">
        <v>1.9852000000000001</v>
      </c>
      <c r="H20" s="123">
        <v>1.9852000000000001</v>
      </c>
      <c r="I20" s="123">
        <v>1.9852000000000001</v>
      </c>
      <c r="J20" s="123">
        <v>1.9852000000000001</v>
      </c>
      <c r="K20" s="123">
        <v>1.9852000000000001</v>
      </c>
      <c r="L20" s="123">
        <v>1.9852000000000001</v>
      </c>
      <c r="M20" s="123">
        <v>1.9852000000000001</v>
      </c>
      <c r="N20" s="123">
        <v>1.9852000000000001</v>
      </c>
      <c r="O20" s="123">
        <v>1.9852000000000001</v>
      </c>
      <c r="P20" s="123">
        <v>1.9852000000000001</v>
      </c>
      <c r="Q20" s="123">
        <v>1.9852000000000001</v>
      </c>
    </row>
    <row r="21" spans="3:17" x14ac:dyDescent="0.25">
      <c r="C21" s="125"/>
      <c r="D21" s="116"/>
      <c r="E21" s="116" t="s">
        <v>156</v>
      </c>
      <c r="F21" s="123">
        <v>78.954623999999995</v>
      </c>
      <c r="G21" s="123">
        <v>78.954623999999995</v>
      </c>
      <c r="H21" s="123">
        <v>78.954623999999995</v>
      </c>
      <c r="I21" s="123">
        <v>78.954623999999995</v>
      </c>
      <c r="J21" s="123">
        <v>78.954623999999995</v>
      </c>
      <c r="K21" s="123">
        <v>78.954623999999995</v>
      </c>
      <c r="L21" s="123">
        <v>78.954623999999995</v>
      </c>
      <c r="M21" s="123">
        <v>78.954623999999995</v>
      </c>
      <c r="N21" s="123">
        <v>78.954623999999995</v>
      </c>
      <c r="O21" s="123">
        <v>78.954623999999995</v>
      </c>
      <c r="P21" s="123">
        <v>78.954623999999995</v>
      </c>
      <c r="Q21" s="123">
        <v>78.954623999999995</v>
      </c>
    </row>
    <row r="22" spans="3:17" x14ac:dyDescent="0.25">
      <c r="C22" s="125"/>
      <c r="D22" s="116"/>
      <c r="E22" s="116" t="s">
        <v>159</v>
      </c>
      <c r="F22" s="123">
        <v>19.176079999999999</v>
      </c>
      <c r="G22" s="123">
        <v>19.176079999999999</v>
      </c>
      <c r="H22" s="123">
        <v>19.176079999999999</v>
      </c>
      <c r="I22" s="123">
        <v>19.176079999999999</v>
      </c>
      <c r="J22" s="123">
        <v>19.176079999999999</v>
      </c>
      <c r="K22" s="123">
        <v>19.176079999999999</v>
      </c>
      <c r="L22" s="123">
        <v>19.176079999999999</v>
      </c>
      <c r="M22" s="123">
        <v>19.176079999999999</v>
      </c>
      <c r="N22" s="123">
        <v>19.176079999999999</v>
      </c>
      <c r="O22" s="123">
        <v>19.176079999999999</v>
      </c>
      <c r="P22" s="123">
        <v>19.176079999999999</v>
      </c>
      <c r="Q22" s="123">
        <v>19.176079999999999</v>
      </c>
    </row>
    <row r="23" spans="3:17" x14ac:dyDescent="0.25">
      <c r="C23" s="125"/>
      <c r="D23" s="116"/>
      <c r="E23" s="116" t="s">
        <v>157</v>
      </c>
      <c r="F23" s="123">
        <v>14.527296</v>
      </c>
      <c r="G23" s="123">
        <v>14.527296</v>
      </c>
      <c r="H23" s="123">
        <v>14.527296</v>
      </c>
      <c r="I23" s="123">
        <v>14.527296</v>
      </c>
      <c r="J23" s="123">
        <v>14.527296</v>
      </c>
      <c r="K23" s="123">
        <v>14.527296</v>
      </c>
      <c r="L23" s="123">
        <v>14.527296</v>
      </c>
      <c r="M23" s="123">
        <v>14.527296</v>
      </c>
      <c r="N23" s="123">
        <v>14.527296</v>
      </c>
      <c r="O23" s="123">
        <v>14.527296</v>
      </c>
      <c r="P23" s="123">
        <v>14.527296</v>
      </c>
      <c r="Q23" s="123">
        <v>14.527296</v>
      </c>
    </row>
    <row r="24" spans="3:17" x14ac:dyDescent="0.25">
      <c r="C24" s="124" t="s">
        <v>109</v>
      </c>
      <c r="D24" s="115" t="s">
        <v>281</v>
      </c>
      <c r="E24" s="115" t="s">
        <v>154</v>
      </c>
      <c r="F24" s="122">
        <v>18.48</v>
      </c>
      <c r="G24" s="122">
        <v>18.48</v>
      </c>
      <c r="H24" s="122">
        <v>18.48</v>
      </c>
      <c r="I24" s="122">
        <v>18.48</v>
      </c>
      <c r="J24" s="122">
        <v>18.48</v>
      </c>
      <c r="K24" s="122">
        <v>18.48</v>
      </c>
      <c r="L24" s="122">
        <v>18.48</v>
      </c>
      <c r="M24" s="122">
        <v>18.48</v>
      </c>
      <c r="N24" s="122">
        <v>18.48</v>
      </c>
      <c r="O24" s="122">
        <v>18.48</v>
      </c>
      <c r="P24" s="122">
        <v>18.48</v>
      </c>
      <c r="Q24" s="122">
        <v>18.48</v>
      </c>
    </row>
    <row r="25" spans="3:17" x14ac:dyDescent="0.25">
      <c r="C25" s="124"/>
      <c r="D25" s="115"/>
      <c r="E25" s="115" t="s">
        <v>155</v>
      </c>
      <c r="F25" s="122">
        <v>0.4032</v>
      </c>
      <c r="G25" s="122">
        <v>0.4032</v>
      </c>
      <c r="H25" s="122">
        <v>0.4032</v>
      </c>
      <c r="I25" s="122">
        <v>0.4032</v>
      </c>
      <c r="J25" s="122">
        <v>0.4032</v>
      </c>
      <c r="K25" s="122">
        <v>0.4032</v>
      </c>
      <c r="L25" s="122">
        <v>0.4032</v>
      </c>
      <c r="M25" s="122">
        <v>0.4032</v>
      </c>
      <c r="N25" s="122">
        <v>0.4032</v>
      </c>
      <c r="O25" s="122">
        <v>0.4032</v>
      </c>
      <c r="P25" s="122">
        <v>0.4032</v>
      </c>
      <c r="Q25" s="122">
        <v>0.4032</v>
      </c>
    </row>
    <row r="26" spans="3:17" x14ac:dyDescent="0.25">
      <c r="C26" s="124"/>
      <c r="D26" s="115" t="s">
        <v>285</v>
      </c>
      <c r="E26" s="115" t="s">
        <v>158</v>
      </c>
      <c r="F26" s="122">
        <v>1.9852000000000001</v>
      </c>
      <c r="G26" s="122">
        <v>1.9852000000000001</v>
      </c>
      <c r="H26" s="122">
        <v>1.9852000000000001</v>
      </c>
      <c r="I26" s="122">
        <v>1.9852000000000001</v>
      </c>
      <c r="J26" s="122">
        <v>1.9852000000000001</v>
      </c>
      <c r="K26" s="122">
        <v>1.9852000000000001</v>
      </c>
      <c r="L26" s="122">
        <v>1.9852000000000001</v>
      </c>
      <c r="M26" s="122">
        <v>1.9852000000000001</v>
      </c>
      <c r="N26" s="122">
        <v>1.9852000000000001</v>
      </c>
      <c r="O26" s="122">
        <v>1.9852000000000001</v>
      </c>
      <c r="P26" s="122">
        <v>1.9852000000000001</v>
      </c>
      <c r="Q26" s="122">
        <v>1.9852000000000001</v>
      </c>
    </row>
    <row r="27" spans="3:17" x14ac:dyDescent="0.25">
      <c r="C27" s="124"/>
      <c r="D27" s="115"/>
      <c r="E27" s="115" t="s">
        <v>156</v>
      </c>
      <c r="F27" s="122">
        <v>78.954623999999995</v>
      </c>
      <c r="G27" s="122">
        <v>78.954623999999995</v>
      </c>
      <c r="H27" s="122">
        <v>78.954623999999995</v>
      </c>
      <c r="I27" s="122">
        <v>78.954623999999995</v>
      </c>
      <c r="J27" s="122">
        <v>78.954623999999995</v>
      </c>
      <c r="K27" s="122">
        <v>78.954623999999995</v>
      </c>
      <c r="L27" s="122">
        <v>78.954623999999995</v>
      </c>
      <c r="M27" s="122">
        <v>78.954623999999995</v>
      </c>
      <c r="N27" s="122">
        <v>78.954623999999995</v>
      </c>
      <c r="O27" s="122">
        <v>78.954623999999995</v>
      </c>
      <c r="P27" s="122">
        <v>78.954623999999995</v>
      </c>
      <c r="Q27" s="122">
        <v>78.954623999999995</v>
      </c>
    </row>
    <row r="28" spans="3:17" x14ac:dyDescent="0.25">
      <c r="C28" s="124"/>
      <c r="D28" s="115"/>
      <c r="E28" s="115" t="s">
        <v>159</v>
      </c>
      <c r="F28" s="122">
        <v>19.176079999999999</v>
      </c>
      <c r="G28" s="122">
        <v>19.176079999999999</v>
      </c>
      <c r="H28" s="122">
        <v>19.176079999999999</v>
      </c>
      <c r="I28" s="122">
        <v>19.176079999999999</v>
      </c>
      <c r="J28" s="122">
        <v>19.176079999999999</v>
      </c>
      <c r="K28" s="122">
        <v>19.176079999999999</v>
      </c>
      <c r="L28" s="122">
        <v>19.176079999999999</v>
      </c>
      <c r="M28" s="122">
        <v>19.176079999999999</v>
      </c>
      <c r="N28" s="122">
        <v>19.176079999999999</v>
      </c>
      <c r="O28" s="122">
        <v>19.176079999999999</v>
      </c>
      <c r="P28" s="122">
        <v>19.176079999999999</v>
      </c>
      <c r="Q28" s="122">
        <v>19.176079999999999</v>
      </c>
    </row>
    <row r="29" spans="3:17" x14ac:dyDescent="0.25">
      <c r="C29" s="124"/>
      <c r="D29" s="115"/>
      <c r="E29" s="115" t="s">
        <v>157</v>
      </c>
      <c r="F29" s="122">
        <v>14.527296</v>
      </c>
      <c r="G29" s="122">
        <v>14.527296</v>
      </c>
      <c r="H29" s="122">
        <v>14.527296</v>
      </c>
      <c r="I29" s="122">
        <v>14.527296</v>
      </c>
      <c r="J29" s="122">
        <v>14.527296</v>
      </c>
      <c r="K29" s="122">
        <v>14.527296</v>
      </c>
      <c r="L29" s="122">
        <v>14.527296</v>
      </c>
      <c r="M29" s="122">
        <v>14.527296</v>
      </c>
      <c r="N29" s="122">
        <v>14.527296</v>
      </c>
      <c r="O29" s="122">
        <v>14.527296</v>
      </c>
      <c r="P29" s="122">
        <v>14.527296</v>
      </c>
      <c r="Q29" s="122">
        <v>14.527296</v>
      </c>
    </row>
    <row r="30" spans="3:17" x14ac:dyDescent="0.25">
      <c r="C30" s="125" t="s">
        <v>110</v>
      </c>
      <c r="D30" s="116" t="s">
        <v>281</v>
      </c>
      <c r="E30" s="116" t="s">
        <v>154</v>
      </c>
      <c r="F30" s="123">
        <v>38.64</v>
      </c>
      <c r="G30" s="123">
        <v>38.64</v>
      </c>
      <c r="H30" s="123">
        <v>38.64</v>
      </c>
      <c r="I30" s="123">
        <v>38.64</v>
      </c>
      <c r="J30" s="123">
        <v>38.64</v>
      </c>
      <c r="K30" s="123">
        <v>38.64</v>
      </c>
      <c r="L30" s="123">
        <v>38.64</v>
      </c>
      <c r="M30" s="123">
        <v>38.64</v>
      </c>
      <c r="N30" s="123">
        <v>38.64</v>
      </c>
      <c r="O30" s="123">
        <v>38.64</v>
      </c>
      <c r="P30" s="123">
        <v>38.64</v>
      </c>
      <c r="Q30" s="123">
        <v>38.64</v>
      </c>
    </row>
    <row r="31" spans="3:17" x14ac:dyDescent="0.25">
      <c r="C31" s="125"/>
      <c r="D31" s="116"/>
      <c r="E31" s="116" t="s">
        <v>155</v>
      </c>
      <c r="F31" s="123">
        <v>2.6880000000000002</v>
      </c>
      <c r="G31" s="123">
        <v>2.6880000000000002</v>
      </c>
      <c r="H31" s="123">
        <v>2.6880000000000002</v>
      </c>
      <c r="I31" s="123">
        <v>2.6880000000000002</v>
      </c>
      <c r="J31" s="123">
        <v>2.6880000000000002</v>
      </c>
      <c r="K31" s="123">
        <v>2.6880000000000002</v>
      </c>
      <c r="L31" s="123">
        <v>2.6880000000000002</v>
      </c>
      <c r="M31" s="123">
        <v>2.6880000000000002</v>
      </c>
      <c r="N31" s="123">
        <v>2.6880000000000002</v>
      </c>
      <c r="O31" s="123">
        <v>2.6880000000000002</v>
      </c>
      <c r="P31" s="123">
        <v>2.6880000000000002</v>
      </c>
      <c r="Q31" s="123">
        <v>2.6880000000000002</v>
      </c>
    </row>
    <row r="32" spans="3:17" x14ac:dyDescent="0.25">
      <c r="C32" s="125"/>
      <c r="D32" s="116" t="s">
        <v>285</v>
      </c>
      <c r="E32" s="116" t="s">
        <v>158</v>
      </c>
      <c r="F32" s="123">
        <v>1.9852000000000001</v>
      </c>
      <c r="G32" s="123">
        <v>1.9852000000000001</v>
      </c>
      <c r="H32" s="123">
        <v>1.9852000000000001</v>
      </c>
      <c r="I32" s="123">
        <v>1.9852000000000001</v>
      </c>
      <c r="J32" s="123">
        <v>1.9852000000000001</v>
      </c>
      <c r="K32" s="123">
        <v>1.9852000000000001</v>
      </c>
      <c r="L32" s="123">
        <v>1.9852000000000001</v>
      </c>
      <c r="M32" s="123">
        <v>1.9852000000000001</v>
      </c>
      <c r="N32" s="123">
        <v>1.9852000000000001</v>
      </c>
      <c r="O32" s="123">
        <v>1.9852000000000001</v>
      </c>
      <c r="P32" s="123">
        <v>1.9852000000000001</v>
      </c>
      <c r="Q32" s="123">
        <v>1.9852000000000001</v>
      </c>
    </row>
    <row r="33" spans="3:17" x14ac:dyDescent="0.25">
      <c r="C33" s="125"/>
      <c r="D33" s="116"/>
      <c r="E33" s="116" t="s">
        <v>156</v>
      </c>
      <c r="F33" s="123">
        <v>78.954623999999995</v>
      </c>
      <c r="G33" s="123">
        <v>78.954623999999995</v>
      </c>
      <c r="H33" s="123">
        <v>78.954623999999995</v>
      </c>
      <c r="I33" s="123">
        <v>78.954623999999995</v>
      </c>
      <c r="J33" s="123">
        <v>78.954623999999995</v>
      </c>
      <c r="K33" s="123">
        <v>78.954623999999995</v>
      </c>
      <c r="L33" s="123">
        <v>78.954623999999995</v>
      </c>
      <c r="M33" s="123">
        <v>78.954623999999995</v>
      </c>
      <c r="N33" s="123">
        <v>78.954623999999995</v>
      </c>
      <c r="O33" s="123">
        <v>78.954623999999995</v>
      </c>
      <c r="P33" s="123">
        <v>78.954623999999995</v>
      </c>
      <c r="Q33" s="123">
        <v>78.954623999999995</v>
      </c>
    </row>
    <row r="34" spans="3:17" x14ac:dyDescent="0.25">
      <c r="C34" s="125"/>
      <c r="D34" s="116"/>
      <c r="E34" s="116" t="s">
        <v>159</v>
      </c>
      <c r="F34" s="123">
        <v>19.176079999999999</v>
      </c>
      <c r="G34" s="123">
        <v>19.176079999999999</v>
      </c>
      <c r="H34" s="123">
        <v>19.176079999999999</v>
      </c>
      <c r="I34" s="123">
        <v>19.176079999999999</v>
      </c>
      <c r="J34" s="123">
        <v>19.176079999999999</v>
      </c>
      <c r="K34" s="123">
        <v>19.176079999999999</v>
      </c>
      <c r="L34" s="123">
        <v>19.176079999999999</v>
      </c>
      <c r="M34" s="123">
        <v>19.176079999999999</v>
      </c>
      <c r="N34" s="123">
        <v>19.176079999999999</v>
      </c>
      <c r="O34" s="123">
        <v>19.176079999999999</v>
      </c>
      <c r="P34" s="123">
        <v>19.176079999999999</v>
      </c>
      <c r="Q34" s="123">
        <v>19.176079999999999</v>
      </c>
    </row>
    <row r="35" spans="3:17" x14ac:dyDescent="0.25">
      <c r="C35" s="125"/>
      <c r="D35" s="116"/>
      <c r="E35" s="116" t="s">
        <v>157</v>
      </c>
      <c r="F35" s="123">
        <v>14.527296</v>
      </c>
      <c r="G35" s="123">
        <v>14.527296</v>
      </c>
      <c r="H35" s="123">
        <v>14.527296</v>
      </c>
      <c r="I35" s="123">
        <v>14.527296</v>
      </c>
      <c r="J35" s="123">
        <v>14.527296</v>
      </c>
      <c r="K35" s="123">
        <v>14.527296</v>
      </c>
      <c r="L35" s="123">
        <v>14.527296</v>
      </c>
      <c r="M35" s="123">
        <v>14.527296</v>
      </c>
      <c r="N35" s="123">
        <v>14.527296</v>
      </c>
      <c r="O35" s="123">
        <v>14.527296</v>
      </c>
      <c r="P35" s="123">
        <v>14.527296</v>
      </c>
      <c r="Q35" s="123">
        <v>14.527296</v>
      </c>
    </row>
    <row r="36" spans="3:17" x14ac:dyDescent="0.25">
      <c r="C36" s="124" t="s">
        <v>111</v>
      </c>
      <c r="D36" s="115" t="s">
        <v>281</v>
      </c>
      <c r="E36" s="115" t="s">
        <v>154</v>
      </c>
      <c r="F36" s="122">
        <v>38.64</v>
      </c>
      <c r="G36" s="122">
        <v>38.64</v>
      </c>
      <c r="H36" s="122">
        <v>38.64</v>
      </c>
      <c r="I36" s="122">
        <v>38.64</v>
      </c>
      <c r="J36" s="122">
        <v>38.64</v>
      </c>
      <c r="K36" s="122">
        <v>38.64</v>
      </c>
      <c r="L36" s="122">
        <v>38.64</v>
      </c>
      <c r="M36" s="122">
        <v>38.64</v>
      </c>
      <c r="N36" s="122">
        <v>38.64</v>
      </c>
      <c r="O36" s="122">
        <v>38.64</v>
      </c>
      <c r="P36" s="122">
        <v>38.64</v>
      </c>
      <c r="Q36" s="122">
        <v>38.64</v>
      </c>
    </row>
    <row r="37" spans="3:17" x14ac:dyDescent="0.25">
      <c r="C37" s="124"/>
      <c r="D37" s="115"/>
      <c r="E37" s="115" t="s">
        <v>155</v>
      </c>
      <c r="F37" s="122">
        <v>2.016</v>
      </c>
      <c r="G37" s="122">
        <v>2.016</v>
      </c>
      <c r="H37" s="122">
        <v>2.016</v>
      </c>
      <c r="I37" s="122">
        <v>2.016</v>
      </c>
      <c r="J37" s="122">
        <v>2.016</v>
      </c>
      <c r="K37" s="122">
        <v>2.016</v>
      </c>
      <c r="L37" s="122">
        <v>2.016</v>
      </c>
      <c r="M37" s="122">
        <v>2.016</v>
      </c>
      <c r="N37" s="122">
        <v>2.016</v>
      </c>
      <c r="O37" s="122">
        <v>2.016</v>
      </c>
      <c r="P37" s="122">
        <v>2.016</v>
      </c>
      <c r="Q37" s="122">
        <v>2.016</v>
      </c>
    </row>
    <row r="38" spans="3:17" x14ac:dyDescent="0.25">
      <c r="C38" s="124"/>
      <c r="D38" s="115" t="s">
        <v>285</v>
      </c>
      <c r="E38" s="115" t="s">
        <v>158</v>
      </c>
      <c r="F38" s="122">
        <v>1.9852000000000001</v>
      </c>
      <c r="G38" s="122">
        <v>1.9852000000000001</v>
      </c>
      <c r="H38" s="122">
        <v>1.9852000000000001</v>
      </c>
      <c r="I38" s="122">
        <v>1.9852000000000001</v>
      </c>
      <c r="J38" s="122">
        <v>1.9852000000000001</v>
      </c>
      <c r="K38" s="122">
        <v>1.9852000000000001</v>
      </c>
      <c r="L38" s="122">
        <v>1.9852000000000001</v>
      </c>
      <c r="M38" s="122">
        <v>1.9852000000000001</v>
      </c>
      <c r="N38" s="122">
        <v>1.9852000000000001</v>
      </c>
      <c r="O38" s="122">
        <v>1.9852000000000001</v>
      </c>
      <c r="P38" s="122">
        <v>1.9852000000000001</v>
      </c>
      <c r="Q38" s="122">
        <v>1.9852000000000001</v>
      </c>
    </row>
    <row r="39" spans="3:17" x14ac:dyDescent="0.25">
      <c r="C39" s="124"/>
      <c r="D39" s="115"/>
      <c r="E39" s="115" t="s">
        <v>156</v>
      </c>
      <c r="F39" s="122">
        <v>78.954623999999995</v>
      </c>
      <c r="G39" s="122">
        <v>78.954623999999995</v>
      </c>
      <c r="H39" s="122">
        <v>78.954623999999995</v>
      </c>
      <c r="I39" s="122">
        <v>78.954623999999995</v>
      </c>
      <c r="J39" s="122">
        <v>78.954623999999995</v>
      </c>
      <c r="K39" s="122">
        <v>78.954623999999995</v>
      </c>
      <c r="L39" s="122">
        <v>78.954623999999995</v>
      </c>
      <c r="M39" s="122">
        <v>78.954623999999995</v>
      </c>
      <c r="N39" s="122">
        <v>78.954623999999995</v>
      </c>
      <c r="O39" s="122">
        <v>78.954623999999995</v>
      </c>
      <c r="P39" s="122">
        <v>78.954623999999995</v>
      </c>
      <c r="Q39" s="122">
        <v>78.954623999999995</v>
      </c>
    </row>
    <row r="40" spans="3:17" x14ac:dyDescent="0.25">
      <c r="C40" s="124"/>
      <c r="D40" s="115"/>
      <c r="E40" s="115" t="s">
        <v>159</v>
      </c>
      <c r="F40" s="122">
        <v>19.176079999999999</v>
      </c>
      <c r="G40" s="122">
        <v>19.176079999999999</v>
      </c>
      <c r="H40" s="122">
        <v>19.176079999999999</v>
      </c>
      <c r="I40" s="122">
        <v>19.176079999999999</v>
      </c>
      <c r="J40" s="122">
        <v>19.176079999999999</v>
      </c>
      <c r="K40" s="122">
        <v>19.176079999999999</v>
      </c>
      <c r="L40" s="122">
        <v>19.176079999999999</v>
      </c>
      <c r="M40" s="122">
        <v>19.176079999999999</v>
      </c>
      <c r="N40" s="122">
        <v>19.176079999999999</v>
      </c>
      <c r="O40" s="122">
        <v>19.176079999999999</v>
      </c>
      <c r="P40" s="122">
        <v>19.176079999999999</v>
      </c>
      <c r="Q40" s="122">
        <v>19.176079999999999</v>
      </c>
    </row>
    <row r="41" spans="3:17" x14ac:dyDescent="0.25">
      <c r="C41" s="124"/>
      <c r="D41" s="115"/>
      <c r="E41" s="115" t="s">
        <v>157</v>
      </c>
      <c r="F41" s="122">
        <v>14.527296</v>
      </c>
      <c r="G41" s="122">
        <v>14.527296</v>
      </c>
      <c r="H41" s="122">
        <v>14.527296</v>
      </c>
      <c r="I41" s="122">
        <v>14.527296</v>
      </c>
      <c r="J41" s="122">
        <v>14.527296</v>
      </c>
      <c r="K41" s="122">
        <v>14.527296</v>
      </c>
      <c r="L41" s="122">
        <v>14.527296</v>
      </c>
      <c r="M41" s="122">
        <v>14.527296</v>
      </c>
      <c r="N41" s="122">
        <v>14.527296</v>
      </c>
      <c r="O41" s="122">
        <v>14.527296</v>
      </c>
      <c r="P41" s="122">
        <v>14.527296</v>
      </c>
      <c r="Q41" s="122">
        <v>14.527296</v>
      </c>
    </row>
    <row r="42" spans="3:17" x14ac:dyDescent="0.25">
      <c r="C42" s="125" t="s">
        <v>108</v>
      </c>
      <c r="D42" s="116" t="s">
        <v>281</v>
      </c>
      <c r="E42" s="116" t="s">
        <v>156</v>
      </c>
      <c r="F42" s="123">
        <v>12.992000000000001</v>
      </c>
      <c r="G42" s="123">
        <v>12.992000000000001</v>
      </c>
      <c r="H42" s="123">
        <v>12.992000000000001</v>
      </c>
      <c r="I42" s="123">
        <v>12.992000000000001</v>
      </c>
      <c r="J42" s="123">
        <v>12.992000000000001</v>
      </c>
      <c r="K42" s="123">
        <v>12.992000000000001</v>
      </c>
      <c r="L42" s="123">
        <v>12.992000000000001</v>
      </c>
      <c r="M42" s="123">
        <v>12.992000000000001</v>
      </c>
      <c r="N42" s="123">
        <v>12.992000000000001</v>
      </c>
      <c r="O42" s="123">
        <v>12.992000000000001</v>
      </c>
      <c r="P42" s="123">
        <v>12.992000000000001</v>
      </c>
      <c r="Q42" s="123">
        <v>12.992000000000001</v>
      </c>
    </row>
    <row r="43" spans="3:17" x14ac:dyDescent="0.25">
      <c r="C43" s="125"/>
      <c r="D43" s="116" t="s">
        <v>285</v>
      </c>
      <c r="E43" s="116" t="s">
        <v>158</v>
      </c>
      <c r="F43" s="123">
        <v>1.9852000000000001</v>
      </c>
      <c r="G43" s="123">
        <v>1.9852000000000001</v>
      </c>
      <c r="H43" s="123">
        <v>1.9852000000000001</v>
      </c>
      <c r="I43" s="123">
        <v>1.9852000000000001</v>
      </c>
      <c r="J43" s="123">
        <v>1.9852000000000001</v>
      </c>
      <c r="K43" s="123">
        <v>1.9852000000000001</v>
      </c>
      <c r="L43" s="123">
        <v>1.9852000000000001</v>
      </c>
      <c r="M43" s="123">
        <v>1.9852000000000001</v>
      </c>
      <c r="N43" s="123">
        <v>1.9852000000000001</v>
      </c>
      <c r="O43" s="123">
        <v>1.9852000000000001</v>
      </c>
      <c r="P43" s="123">
        <v>1.9852000000000001</v>
      </c>
      <c r="Q43" s="123">
        <v>1.9852000000000001</v>
      </c>
    </row>
    <row r="44" spans="3:17" x14ac:dyDescent="0.25">
      <c r="C44" s="125"/>
      <c r="D44" s="116"/>
      <c r="E44" s="116" t="s">
        <v>156</v>
      </c>
      <c r="F44" s="123">
        <v>78.954623999999995</v>
      </c>
      <c r="G44" s="123">
        <v>78.954623999999995</v>
      </c>
      <c r="H44" s="123">
        <v>78.954623999999995</v>
      </c>
      <c r="I44" s="123">
        <v>78.954623999999995</v>
      </c>
      <c r="J44" s="123">
        <v>78.954623999999995</v>
      </c>
      <c r="K44" s="123">
        <v>78.954623999999995</v>
      </c>
      <c r="L44" s="123">
        <v>78.954623999999995</v>
      </c>
      <c r="M44" s="123">
        <v>78.954623999999995</v>
      </c>
      <c r="N44" s="123">
        <v>78.954623999999995</v>
      </c>
      <c r="O44" s="123">
        <v>78.954623999999995</v>
      </c>
      <c r="P44" s="123">
        <v>78.954623999999995</v>
      </c>
      <c r="Q44" s="123">
        <v>78.954623999999995</v>
      </c>
    </row>
    <row r="45" spans="3:17" x14ac:dyDescent="0.25">
      <c r="C45" s="125"/>
      <c r="D45" s="116"/>
      <c r="E45" s="116" t="s">
        <v>159</v>
      </c>
      <c r="F45" s="123">
        <v>19.176079999999999</v>
      </c>
      <c r="G45" s="123">
        <v>19.176079999999999</v>
      </c>
      <c r="H45" s="123">
        <v>19.176079999999999</v>
      </c>
      <c r="I45" s="123">
        <v>19.176079999999999</v>
      </c>
      <c r="J45" s="123">
        <v>19.176079999999999</v>
      </c>
      <c r="K45" s="123">
        <v>19.176079999999999</v>
      </c>
      <c r="L45" s="123">
        <v>19.176079999999999</v>
      </c>
      <c r="M45" s="123">
        <v>19.176079999999999</v>
      </c>
      <c r="N45" s="123">
        <v>19.176079999999999</v>
      </c>
      <c r="O45" s="123">
        <v>19.176079999999999</v>
      </c>
      <c r="P45" s="123">
        <v>19.176079999999999</v>
      </c>
      <c r="Q45" s="123">
        <v>19.176079999999999</v>
      </c>
    </row>
    <row r="46" spans="3:17" x14ac:dyDescent="0.25">
      <c r="C46" s="125"/>
      <c r="D46" s="116"/>
      <c r="E46" s="116" t="s">
        <v>157</v>
      </c>
      <c r="F46" s="123">
        <v>14.527296</v>
      </c>
      <c r="G46" s="123">
        <v>14.527296</v>
      </c>
      <c r="H46" s="123">
        <v>14.527296</v>
      </c>
      <c r="I46" s="123">
        <v>14.527296</v>
      </c>
      <c r="J46" s="123">
        <v>14.527296</v>
      </c>
      <c r="K46" s="123">
        <v>14.527296</v>
      </c>
      <c r="L46" s="123">
        <v>14.527296</v>
      </c>
      <c r="M46" s="123">
        <v>14.527296</v>
      </c>
      <c r="N46" s="123">
        <v>14.527296</v>
      </c>
      <c r="O46" s="123">
        <v>14.527296</v>
      </c>
      <c r="P46" s="123">
        <v>14.527296</v>
      </c>
      <c r="Q46" s="123">
        <v>14.527296</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FF00"/>
  </sheetPr>
  <dimension ref="A1:S101"/>
  <sheetViews>
    <sheetView topLeftCell="A4" workbookViewId="0">
      <selection activeCell="D3" sqref="D3"/>
    </sheetView>
  </sheetViews>
  <sheetFormatPr defaultRowHeight="15" x14ac:dyDescent="0.25"/>
  <cols>
    <col min="1" max="1" width="8.7109375" customWidth="1"/>
    <col min="2" max="2" width="6.42578125" customWidth="1"/>
    <col min="3" max="3" width="20.85546875" customWidth="1"/>
    <col min="4" max="4" width="18.7109375" customWidth="1"/>
  </cols>
  <sheetData>
    <row r="1" spans="1:19" s="62" customFormat="1" ht="15.75" x14ac:dyDescent="0.25">
      <c r="C1" s="109"/>
      <c r="E1" s="29"/>
    </row>
    <row r="2" spans="1:19" s="62" customFormat="1" ht="15.75" x14ac:dyDescent="0.25">
      <c r="C2" s="109"/>
      <c r="E2" s="29"/>
    </row>
    <row r="3" spans="1:19" s="62" customFormat="1" ht="33.75" x14ac:dyDescent="0.5">
      <c r="C3" s="109"/>
      <c r="D3" s="126" t="s">
        <v>289</v>
      </c>
      <c r="E3" s="29"/>
    </row>
    <row r="4" spans="1:19" s="62" customFormat="1" ht="15.75" x14ac:dyDescent="0.25">
      <c r="C4" s="109"/>
      <c r="E4" s="29"/>
    </row>
    <row r="5" spans="1:19" s="62" customFormat="1" ht="15.75" x14ac:dyDescent="0.25">
      <c r="C5" s="109"/>
      <c r="E5" s="29"/>
    </row>
    <row r="6" spans="1:19" s="62" customFormat="1" ht="15.75" x14ac:dyDescent="0.25">
      <c r="C6" s="109"/>
      <c r="E6" s="29"/>
    </row>
    <row r="7" spans="1:19" s="62" customFormat="1" x14ac:dyDescent="0.25"/>
    <row r="8" spans="1:19" s="38" customFormat="1" ht="21" x14ac:dyDescent="0.35">
      <c r="A8" s="118" t="s">
        <v>287</v>
      </c>
      <c r="G8" s="8"/>
      <c r="H8" s="8"/>
      <c r="I8" s="8"/>
      <c r="J8" s="8"/>
      <c r="K8" s="8"/>
      <c r="L8" s="8"/>
      <c r="M8" s="8"/>
      <c r="N8" s="8"/>
      <c r="O8" s="8"/>
      <c r="P8" s="8"/>
      <c r="Q8" s="8"/>
      <c r="R8" s="8"/>
      <c r="S8" s="8"/>
    </row>
    <row r="9" spans="1:19" x14ac:dyDescent="0.25">
      <c r="A9" t="s">
        <v>286</v>
      </c>
      <c r="G9" s="8"/>
      <c r="H9" s="8"/>
      <c r="I9" s="8"/>
      <c r="J9" s="8"/>
      <c r="K9" s="8"/>
      <c r="L9" s="8"/>
      <c r="M9" s="8"/>
      <c r="N9" s="8"/>
      <c r="O9" s="8"/>
      <c r="P9" s="8"/>
      <c r="Q9" s="8"/>
      <c r="R9" s="8"/>
      <c r="S9" s="8"/>
    </row>
    <row r="10" spans="1:19" x14ac:dyDescent="0.25">
      <c r="G10" s="8"/>
      <c r="H10" s="8"/>
      <c r="I10" s="8"/>
      <c r="J10" s="8"/>
      <c r="K10" s="8"/>
      <c r="L10" s="8"/>
      <c r="M10" s="8"/>
      <c r="N10" s="8"/>
      <c r="O10" s="8"/>
      <c r="P10" s="8"/>
      <c r="Q10" s="8"/>
      <c r="R10" s="8"/>
      <c r="S10" s="8"/>
    </row>
    <row r="11" spans="1:19" x14ac:dyDescent="0.25">
      <c r="F11" s="32" t="s">
        <v>278</v>
      </c>
      <c r="G11" s="8">
        <v>1</v>
      </c>
      <c r="H11" s="8">
        <v>2</v>
      </c>
      <c r="I11" s="8">
        <v>3</v>
      </c>
      <c r="J11" s="8">
        <v>4</v>
      </c>
      <c r="K11" s="8">
        <v>5</v>
      </c>
      <c r="L11" s="8">
        <v>6</v>
      </c>
      <c r="M11" s="8">
        <v>7</v>
      </c>
      <c r="N11" s="8">
        <v>8</v>
      </c>
      <c r="O11" s="8">
        <v>9</v>
      </c>
      <c r="P11" s="8">
        <v>10</v>
      </c>
      <c r="Q11" s="8">
        <v>11</v>
      </c>
      <c r="R11" s="8">
        <v>12</v>
      </c>
      <c r="S11" s="8"/>
    </row>
    <row r="12" spans="1:19" x14ac:dyDescent="0.25">
      <c r="F12" s="32" t="s">
        <v>279</v>
      </c>
    </row>
    <row r="13" spans="1:19" ht="15.75" thickBot="1" x14ac:dyDescent="0.3">
      <c r="F13" s="110" t="s">
        <v>280</v>
      </c>
      <c r="G13" s="111">
        <v>7</v>
      </c>
      <c r="H13" s="111">
        <v>7</v>
      </c>
      <c r="I13" s="111">
        <v>7</v>
      </c>
      <c r="J13" s="111">
        <v>7</v>
      </c>
      <c r="K13" s="111">
        <v>7</v>
      </c>
      <c r="L13" s="111">
        <v>7</v>
      </c>
      <c r="M13" s="111">
        <v>7</v>
      </c>
      <c r="N13" s="111">
        <v>7</v>
      </c>
      <c r="O13" s="111">
        <v>7</v>
      </c>
      <c r="P13" s="111">
        <v>7</v>
      </c>
      <c r="Q13" s="111">
        <v>7</v>
      </c>
      <c r="R13" s="111">
        <v>7</v>
      </c>
      <c r="S13" s="8"/>
    </row>
    <row r="14" spans="1:19" x14ac:dyDescent="0.25">
      <c r="F14" s="32" t="s">
        <v>209</v>
      </c>
    </row>
    <row r="15" spans="1:19" x14ac:dyDescent="0.25">
      <c r="C15" s="26" t="s">
        <v>255</v>
      </c>
      <c r="D15" s="26" t="s">
        <v>281</v>
      </c>
      <c r="E15" s="26" t="s">
        <v>131</v>
      </c>
      <c r="F15" t="s">
        <v>282</v>
      </c>
      <c r="G15">
        <v>2.1</v>
      </c>
      <c r="H15">
        <v>2.1</v>
      </c>
      <c r="I15">
        <v>2.1</v>
      </c>
      <c r="J15">
        <v>2.1</v>
      </c>
      <c r="K15">
        <v>2.1</v>
      </c>
      <c r="L15">
        <v>2.1</v>
      </c>
      <c r="M15">
        <v>2.1</v>
      </c>
      <c r="N15">
        <v>2.1</v>
      </c>
      <c r="O15">
        <v>2.1</v>
      </c>
      <c r="Q15">
        <v>2.1</v>
      </c>
    </row>
    <row r="16" spans="1:19" x14ac:dyDescent="0.25">
      <c r="F16" t="s">
        <v>283</v>
      </c>
      <c r="G16">
        <v>7.35</v>
      </c>
      <c r="H16">
        <v>7.35</v>
      </c>
      <c r="I16">
        <v>7.35</v>
      </c>
      <c r="J16">
        <v>7.35</v>
      </c>
      <c r="K16">
        <v>7.35</v>
      </c>
      <c r="L16">
        <v>7.35</v>
      </c>
      <c r="M16">
        <v>7.35</v>
      </c>
      <c r="N16">
        <v>7.35</v>
      </c>
      <c r="O16">
        <v>7.35</v>
      </c>
      <c r="Q16">
        <v>7.35</v>
      </c>
    </row>
    <row r="17" spans="3:18" ht="15.75" thickBot="1" x14ac:dyDescent="0.3">
      <c r="F17" s="112" t="s">
        <v>284</v>
      </c>
      <c r="G17" s="112">
        <v>7.35</v>
      </c>
      <c r="H17" s="112">
        <v>7.35</v>
      </c>
      <c r="I17" s="112">
        <v>7.35</v>
      </c>
      <c r="J17" s="112">
        <v>7.35</v>
      </c>
      <c r="K17" s="112">
        <v>7.35</v>
      </c>
      <c r="L17" s="112">
        <v>7.35</v>
      </c>
      <c r="M17" s="112">
        <v>7.35</v>
      </c>
      <c r="N17" s="112">
        <v>7.35</v>
      </c>
      <c r="O17" s="112">
        <v>7.35</v>
      </c>
      <c r="P17" s="112"/>
      <c r="Q17" s="112">
        <v>7.35</v>
      </c>
      <c r="R17" s="112"/>
    </row>
    <row r="18" spans="3:18" x14ac:dyDescent="0.25">
      <c r="C18" s="26"/>
      <c r="D18" s="26"/>
      <c r="E18" s="26" t="s">
        <v>132</v>
      </c>
      <c r="F18" t="s">
        <v>282</v>
      </c>
      <c r="P18">
        <v>3.15</v>
      </c>
    </row>
    <row r="19" spans="3:18" x14ac:dyDescent="0.25">
      <c r="F19" t="s">
        <v>283</v>
      </c>
      <c r="P19">
        <v>7.35</v>
      </c>
    </row>
    <row r="20" spans="3:18" ht="15.75" thickBot="1" x14ac:dyDescent="0.3">
      <c r="F20" s="112" t="s">
        <v>284</v>
      </c>
      <c r="G20" s="112"/>
      <c r="H20" s="112"/>
      <c r="I20" s="112"/>
      <c r="J20" s="112"/>
      <c r="K20" s="112"/>
      <c r="L20" s="112"/>
      <c r="M20" s="112"/>
      <c r="N20" s="112"/>
      <c r="O20" s="112"/>
      <c r="P20" s="112">
        <v>7.35</v>
      </c>
      <c r="Q20" s="112"/>
      <c r="R20" s="112"/>
    </row>
    <row r="21" spans="3:18" x14ac:dyDescent="0.25">
      <c r="C21" s="26" t="s">
        <v>245</v>
      </c>
      <c r="D21" s="26" t="s">
        <v>281</v>
      </c>
      <c r="E21" s="26" t="s">
        <v>128</v>
      </c>
      <c r="F21" t="s">
        <v>282</v>
      </c>
      <c r="I21">
        <v>1.8</v>
      </c>
      <c r="K21">
        <v>1.8</v>
      </c>
      <c r="L21">
        <v>1.8</v>
      </c>
      <c r="M21">
        <v>1.8</v>
      </c>
      <c r="N21">
        <v>1.8</v>
      </c>
    </row>
    <row r="22" spans="3:18" x14ac:dyDescent="0.25">
      <c r="F22" t="s">
        <v>283</v>
      </c>
      <c r="I22">
        <v>6.3</v>
      </c>
      <c r="K22">
        <v>6.3</v>
      </c>
      <c r="L22">
        <v>6.3</v>
      </c>
      <c r="M22">
        <v>6.3</v>
      </c>
      <c r="N22">
        <v>6.3</v>
      </c>
    </row>
    <row r="23" spans="3:18" ht="15.75" thickBot="1" x14ac:dyDescent="0.3">
      <c r="F23" s="112" t="s">
        <v>284</v>
      </c>
      <c r="G23" s="112"/>
      <c r="H23" s="112"/>
      <c r="I23" s="112">
        <v>3.5999999999980501</v>
      </c>
      <c r="J23" s="112"/>
      <c r="K23" s="112">
        <v>6.3</v>
      </c>
      <c r="L23" s="112">
        <v>6.3</v>
      </c>
      <c r="M23" s="112">
        <v>6.3</v>
      </c>
      <c r="N23" s="112">
        <v>6.3</v>
      </c>
      <c r="O23" s="112"/>
      <c r="P23" s="112"/>
      <c r="Q23" s="112"/>
      <c r="R23" s="112"/>
    </row>
    <row r="24" spans="3:18" x14ac:dyDescent="0.25">
      <c r="C24" s="26"/>
      <c r="D24" s="26"/>
      <c r="E24" s="26" t="s">
        <v>130</v>
      </c>
      <c r="F24" t="s">
        <v>282</v>
      </c>
      <c r="G24">
        <v>2.7</v>
      </c>
      <c r="H24">
        <v>2.7</v>
      </c>
      <c r="I24">
        <v>2.70000000000194</v>
      </c>
      <c r="O24">
        <v>2.7</v>
      </c>
      <c r="Q24">
        <v>2.7</v>
      </c>
    </row>
    <row r="25" spans="3:18" x14ac:dyDescent="0.25">
      <c r="F25" t="s">
        <v>283</v>
      </c>
      <c r="G25">
        <v>6.3</v>
      </c>
      <c r="H25">
        <v>6.3</v>
      </c>
      <c r="I25">
        <v>6.3000000000045402</v>
      </c>
      <c r="O25">
        <v>6.3</v>
      </c>
      <c r="Q25">
        <v>6.3</v>
      </c>
    </row>
    <row r="26" spans="3:18" ht="15.75" thickBot="1" x14ac:dyDescent="0.3">
      <c r="F26" s="112" t="s">
        <v>284</v>
      </c>
      <c r="G26" s="112">
        <v>6.3</v>
      </c>
      <c r="H26" s="112">
        <v>6.3</v>
      </c>
      <c r="I26" s="112">
        <v>2.7000000000019502</v>
      </c>
      <c r="J26" s="112"/>
      <c r="K26" s="112"/>
      <c r="L26" s="112"/>
      <c r="M26" s="112"/>
      <c r="N26" s="112"/>
      <c r="O26" s="112">
        <v>6.3</v>
      </c>
      <c r="P26" s="112"/>
      <c r="Q26" s="112">
        <v>6.3</v>
      </c>
      <c r="R26" s="112"/>
    </row>
    <row r="27" spans="3:18" x14ac:dyDescent="0.25">
      <c r="C27" s="26" t="s">
        <v>247</v>
      </c>
      <c r="D27" s="26" t="s">
        <v>281</v>
      </c>
      <c r="E27" s="26" t="s">
        <v>128</v>
      </c>
      <c r="F27" t="s">
        <v>282</v>
      </c>
      <c r="H27">
        <v>1.8</v>
      </c>
      <c r="I27">
        <v>1.8</v>
      </c>
      <c r="J27">
        <v>1.8</v>
      </c>
      <c r="L27">
        <v>1.8</v>
      </c>
      <c r="M27">
        <v>1.8</v>
      </c>
      <c r="N27">
        <v>1.8</v>
      </c>
    </row>
    <row r="28" spans="3:18" x14ac:dyDescent="0.25">
      <c r="F28" t="s">
        <v>283</v>
      </c>
      <c r="H28">
        <v>6.3</v>
      </c>
      <c r="I28">
        <v>6.3</v>
      </c>
      <c r="J28">
        <v>6.3</v>
      </c>
      <c r="L28">
        <v>6.3</v>
      </c>
      <c r="M28">
        <v>6.3</v>
      </c>
      <c r="N28">
        <v>6.3</v>
      </c>
    </row>
    <row r="29" spans="3:18" ht="15.75" thickBot="1" x14ac:dyDescent="0.3">
      <c r="F29" s="112" t="s">
        <v>284</v>
      </c>
      <c r="G29" s="112"/>
      <c r="H29" s="112">
        <v>6.3</v>
      </c>
      <c r="I29" s="112">
        <v>6.3</v>
      </c>
      <c r="J29" s="112">
        <v>6.3</v>
      </c>
      <c r="K29" s="112"/>
      <c r="L29" s="112">
        <v>6.3</v>
      </c>
      <c r="M29" s="112">
        <v>6.3</v>
      </c>
      <c r="N29" s="112">
        <v>6.3</v>
      </c>
      <c r="O29" s="112"/>
      <c r="P29" s="112"/>
      <c r="Q29" s="112"/>
      <c r="R29" s="112"/>
    </row>
    <row r="30" spans="3:18" x14ac:dyDescent="0.25">
      <c r="C30" s="26"/>
      <c r="D30" s="26"/>
      <c r="E30" s="26" t="s">
        <v>129</v>
      </c>
      <c r="F30" t="s">
        <v>282</v>
      </c>
      <c r="K30">
        <v>1.8</v>
      </c>
      <c r="O30">
        <v>1.8</v>
      </c>
      <c r="P30">
        <v>1.8</v>
      </c>
    </row>
    <row r="31" spans="3:18" x14ac:dyDescent="0.25">
      <c r="F31" t="s">
        <v>283</v>
      </c>
      <c r="K31">
        <v>6.3</v>
      </c>
      <c r="O31">
        <v>6.3</v>
      </c>
      <c r="P31">
        <v>6.3</v>
      </c>
    </row>
    <row r="32" spans="3:18" ht="15.75" thickBot="1" x14ac:dyDescent="0.3">
      <c r="F32" s="112" t="s">
        <v>284</v>
      </c>
      <c r="G32" s="112"/>
      <c r="H32" s="112"/>
      <c r="I32" s="112"/>
      <c r="J32" s="112"/>
      <c r="K32" s="112">
        <v>6.3</v>
      </c>
      <c r="L32" s="112"/>
      <c r="M32" s="112"/>
      <c r="N32" s="112"/>
      <c r="O32" s="112">
        <v>6.3</v>
      </c>
      <c r="P32" s="112">
        <v>2</v>
      </c>
      <c r="Q32" s="112"/>
      <c r="R32" s="112"/>
    </row>
    <row r="33" spans="3:18" x14ac:dyDescent="0.25">
      <c r="C33" s="26"/>
      <c r="D33" s="26"/>
      <c r="E33" s="26" t="s">
        <v>130</v>
      </c>
      <c r="F33" t="s">
        <v>282</v>
      </c>
      <c r="G33">
        <v>2.7</v>
      </c>
      <c r="P33">
        <v>2.7</v>
      </c>
      <c r="Q33">
        <v>2.7</v>
      </c>
    </row>
    <row r="34" spans="3:18" x14ac:dyDescent="0.25">
      <c r="F34" t="s">
        <v>283</v>
      </c>
      <c r="G34">
        <v>6.3</v>
      </c>
      <c r="P34">
        <v>6.3</v>
      </c>
      <c r="Q34">
        <v>6.3</v>
      </c>
    </row>
    <row r="35" spans="3:18" ht="15.75" thickBot="1" x14ac:dyDescent="0.3">
      <c r="F35" s="112" t="s">
        <v>284</v>
      </c>
      <c r="G35" s="112">
        <v>6.3</v>
      </c>
      <c r="H35" s="112"/>
      <c r="I35" s="112"/>
      <c r="J35" s="112"/>
      <c r="K35" s="112"/>
      <c r="L35" s="112"/>
      <c r="M35" s="112"/>
      <c r="N35" s="112"/>
      <c r="O35" s="112"/>
      <c r="P35" s="112">
        <v>4.3</v>
      </c>
      <c r="Q35" s="112">
        <v>6.3</v>
      </c>
      <c r="R35" s="112"/>
    </row>
    <row r="36" spans="3:18" x14ac:dyDescent="0.25">
      <c r="C36" s="26" t="s">
        <v>248</v>
      </c>
      <c r="D36" s="26" t="s">
        <v>281</v>
      </c>
      <c r="E36" s="26" t="s">
        <v>128</v>
      </c>
      <c r="F36" t="s">
        <v>282</v>
      </c>
      <c r="G36">
        <v>3.24</v>
      </c>
      <c r="H36">
        <v>3.24</v>
      </c>
      <c r="J36">
        <v>3.24</v>
      </c>
      <c r="K36">
        <v>3.24</v>
      </c>
    </row>
    <row r="37" spans="3:18" x14ac:dyDescent="0.25">
      <c r="F37" t="s">
        <v>283</v>
      </c>
      <c r="G37">
        <v>11.34</v>
      </c>
      <c r="H37">
        <v>11.34</v>
      </c>
      <c r="J37">
        <v>11.34</v>
      </c>
      <c r="K37">
        <v>11.34</v>
      </c>
    </row>
    <row r="38" spans="3:18" ht="15.75" thickBot="1" x14ac:dyDescent="0.3">
      <c r="F38" s="112" t="s">
        <v>284</v>
      </c>
      <c r="G38" s="112">
        <v>11.34</v>
      </c>
      <c r="H38" s="112">
        <v>11.34</v>
      </c>
      <c r="I38" s="112"/>
      <c r="J38" s="112">
        <v>11.34</v>
      </c>
      <c r="K38" s="112">
        <v>11.34</v>
      </c>
      <c r="L38" s="112"/>
      <c r="M38" s="112"/>
      <c r="N38" s="112"/>
      <c r="O38" s="112"/>
      <c r="P38" s="112"/>
      <c r="Q38" s="112"/>
      <c r="R38" s="112"/>
    </row>
    <row r="39" spans="3:18" x14ac:dyDescent="0.25">
      <c r="C39" s="26"/>
      <c r="D39" s="26"/>
      <c r="E39" s="26" t="s">
        <v>129</v>
      </c>
      <c r="F39" t="s">
        <v>282</v>
      </c>
      <c r="L39">
        <v>3.24</v>
      </c>
      <c r="Q39">
        <v>3.24</v>
      </c>
    </row>
    <row r="40" spans="3:18" x14ac:dyDescent="0.25">
      <c r="F40" t="s">
        <v>283</v>
      </c>
      <c r="L40">
        <v>11.34</v>
      </c>
      <c r="Q40">
        <v>11.34</v>
      </c>
    </row>
    <row r="41" spans="3:18" ht="15.75" thickBot="1" x14ac:dyDescent="0.3">
      <c r="F41" s="112" t="s">
        <v>284</v>
      </c>
      <c r="G41" s="112"/>
      <c r="H41" s="112"/>
      <c r="I41" s="112"/>
      <c r="J41" s="112"/>
      <c r="K41" s="112"/>
      <c r="L41" s="112">
        <v>11.34</v>
      </c>
      <c r="M41" s="112"/>
      <c r="N41" s="112"/>
      <c r="O41" s="112"/>
      <c r="P41" s="112"/>
      <c r="Q41" s="112">
        <v>6</v>
      </c>
      <c r="R41" s="112"/>
    </row>
    <row r="42" spans="3:18" x14ac:dyDescent="0.25">
      <c r="C42" s="26"/>
      <c r="D42" s="26"/>
      <c r="E42" s="26" t="s">
        <v>130</v>
      </c>
      <c r="F42" t="s">
        <v>282</v>
      </c>
      <c r="I42">
        <v>4.8600000000000003</v>
      </c>
      <c r="M42">
        <v>4.8600000000000003</v>
      </c>
      <c r="N42">
        <v>4.8600000000000003</v>
      </c>
      <c r="O42">
        <v>4.8600000000000003</v>
      </c>
      <c r="P42">
        <v>4.8600000000000003</v>
      </c>
    </row>
    <row r="43" spans="3:18" x14ac:dyDescent="0.25">
      <c r="F43" t="s">
        <v>283</v>
      </c>
      <c r="I43">
        <v>11.34</v>
      </c>
      <c r="M43">
        <v>11.34</v>
      </c>
      <c r="N43">
        <v>11.34</v>
      </c>
      <c r="O43">
        <v>11.34</v>
      </c>
      <c r="P43">
        <v>11.34</v>
      </c>
    </row>
    <row r="44" spans="3:18" ht="15.75" thickBot="1" x14ac:dyDescent="0.3">
      <c r="F44" s="112" t="s">
        <v>284</v>
      </c>
      <c r="G44" s="112"/>
      <c r="H44" s="112"/>
      <c r="I44" s="112">
        <v>11.34</v>
      </c>
      <c r="J44" s="112"/>
      <c r="K44" s="112"/>
      <c r="L44" s="112"/>
      <c r="M44" s="112">
        <v>11.34</v>
      </c>
      <c r="N44" s="112">
        <v>11.34</v>
      </c>
      <c r="O44" s="112">
        <v>11.34</v>
      </c>
      <c r="P44" s="112">
        <v>9.1</v>
      </c>
      <c r="Q44" s="112"/>
      <c r="R44" s="112"/>
    </row>
    <row r="45" spans="3:18" x14ac:dyDescent="0.25">
      <c r="C45" s="26" t="s">
        <v>253</v>
      </c>
      <c r="D45" s="26" t="s">
        <v>281</v>
      </c>
      <c r="E45" s="26" t="s">
        <v>128</v>
      </c>
      <c r="F45" t="s">
        <v>282</v>
      </c>
      <c r="K45">
        <v>1.62</v>
      </c>
      <c r="N45">
        <v>1.62</v>
      </c>
      <c r="P45">
        <v>1.62</v>
      </c>
      <c r="Q45">
        <v>1.62</v>
      </c>
    </row>
    <row r="46" spans="3:18" x14ac:dyDescent="0.25">
      <c r="F46" t="s">
        <v>283</v>
      </c>
      <c r="K46">
        <v>11.34</v>
      </c>
      <c r="N46">
        <v>11.34</v>
      </c>
      <c r="P46">
        <v>11.34</v>
      </c>
      <c r="Q46">
        <v>11.34</v>
      </c>
    </row>
    <row r="47" spans="3:18" ht="15.75" thickBot="1" x14ac:dyDescent="0.3">
      <c r="F47" s="112" t="s">
        <v>284</v>
      </c>
      <c r="G47" s="112"/>
      <c r="H47" s="112"/>
      <c r="I47" s="112"/>
      <c r="J47" s="112"/>
      <c r="K47" s="112">
        <v>11.34</v>
      </c>
      <c r="L47" s="112"/>
      <c r="M47" s="112"/>
      <c r="N47" s="112">
        <v>11.34</v>
      </c>
      <c r="O47" s="112"/>
      <c r="P47" s="112">
        <v>11.34</v>
      </c>
      <c r="Q47" s="112">
        <v>2.66</v>
      </c>
      <c r="R47" s="112"/>
    </row>
    <row r="48" spans="3:18" x14ac:dyDescent="0.25">
      <c r="C48" s="26"/>
      <c r="D48" s="26"/>
      <c r="E48" s="26" t="s">
        <v>129</v>
      </c>
      <c r="F48" t="s">
        <v>282</v>
      </c>
      <c r="G48">
        <v>1.62</v>
      </c>
      <c r="H48">
        <v>1.62</v>
      </c>
      <c r="J48">
        <v>1.62</v>
      </c>
      <c r="M48">
        <v>1.62</v>
      </c>
    </row>
    <row r="49" spans="3:18" x14ac:dyDescent="0.25">
      <c r="F49" t="s">
        <v>283</v>
      </c>
      <c r="G49">
        <v>11.34</v>
      </c>
      <c r="H49">
        <v>11.34</v>
      </c>
      <c r="J49">
        <v>11.34</v>
      </c>
      <c r="M49">
        <v>11.34</v>
      </c>
    </row>
    <row r="50" spans="3:18" ht="15.75" thickBot="1" x14ac:dyDescent="0.3">
      <c r="F50" s="112" t="s">
        <v>284</v>
      </c>
      <c r="G50" s="112">
        <v>11.3399999999999</v>
      </c>
      <c r="H50" s="112">
        <v>11.34</v>
      </c>
      <c r="I50" s="112"/>
      <c r="J50" s="112">
        <v>11.34</v>
      </c>
      <c r="K50" s="112"/>
      <c r="L50" s="112"/>
      <c r="M50" s="112">
        <v>11.34</v>
      </c>
      <c r="N50" s="112"/>
      <c r="O50" s="112"/>
      <c r="P50" s="112"/>
      <c r="Q50" s="112"/>
      <c r="R50" s="112"/>
    </row>
    <row r="51" spans="3:18" x14ac:dyDescent="0.25">
      <c r="C51" s="26"/>
      <c r="D51" s="26"/>
      <c r="E51" s="26" t="s">
        <v>130</v>
      </c>
      <c r="F51" t="s">
        <v>282</v>
      </c>
      <c r="I51">
        <v>3.24</v>
      </c>
      <c r="L51">
        <v>3.24</v>
      </c>
      <c r="O51">
        <v>3.24</v>
      </c>
    </row>
    <row r="52" spans="3:18" x14ac:dyDescent="0.25">
      <c r="F52" t="s">
        <v>283</v>
      </c>
      <c r="I52">
        <v>11.34</v>
      </c>
      <c r="L52">
        <v>11.34</v>
      </c>
      <c r="O52">
        <v>11.34</v>
      </c>
    </row>
    <row r="53" spans="3:18" ht="15.75" thickBot="1" x14ac:dyDescent="0.3">
      <c r="F53" s="112" t="s">
        <v>284</v>
      </c>
      <c r="G53" s="112"/>
      <c r="H53" s="112"/>
      <c r="I53" s="112">
        <v>11.34</v>
      </c>
      <c r="J53" s="112"/>
      <c r="K53" s="112"/>
      <c r="L53" s="112">
        <v>11.34</v>
      </c>
      <c r="M53" s="112"/>
      <c r="N53" s="112"/>
      <c r="O53" s="112">
        <v>11.34</v>
      </c>
      <c r="P53" s="112"/>
      <c r="Q53" s="112"/>
      <c r="R53" s="112"/>
    </row>
    <row r="54" spans="3:18" x14ac:dyDescent="0.25">
      <c r="C54" s="26" t="s">
        <v>254</v>
      </c>
      <c r="D54" s="26" t="s">
        <v>281</v>
      </c>
      <c r="E54" s="26" t="s">
        <v>129</v>
      </c>
      <c r="F54" t="s">
        <v>282</v>
      </c>
      <c r="I54">
        <v>1.62</v>
      </c>
      <c r="J54">
        <v>1.62</v>
      </c>
      <c r="O54">
        <v>1.62</v>
      </c>
    </row>
    <row r="55" spans="3:18" x14ac:dyDescent="0.25">
      <c r="F55" t="s">
        <v>283</v>
      </c>
      <c r="I55">
        <v>11.34</v>
      </c>
      <c r="J55">
        <v>11.34</v>
      </c>
      <c r="O55">
        <v>11.34</v>
      </c>
    </row>
    <row r="56" spans="3:18" ht="15.75" thickBot="1" x14ac:dyDescent="0.3">
      <c r="F56" s="112" t="s">
        <v>284</v>
      </c>
      <c r="G56" s="112"/>
      <c r="H56" s="112"/>
      <c r="I56" s="112">
        <v>11.34</v>
      </c>
      <c r="J56" s="112">
        <v>11.34</v>
      </c>
      <c r="K56" s="112"/>
      <c r="L56" s="112"/>
      <c r="M56" s="112"/>
      <c r="N56" s="112"/>
      <c r="O56" s="112">
        <v>11.34</v>
      </c>
      <c r="P56" s="112"/>
      <c r="Q56" s="112"/>
      <c r="R56" s="112"/>
    </row>
    <row r="57" spans="3:18" x14ac:dyDescent="0.25">
      <c r="C57" s="26"/>
      <c r="D57" s="26"/>
      <c r="E57" s="26" t="s">
        <v>130</v>
      </c>
      <c r="F57" t="s">
        <v>282</v>
      </c>
      <c r="G57">
        <v>3.24</v>
      </c>
      <c r="H57">
        <v>3.24</v>
      </c>
      <c r="K57">
        <v>3.24</v>
      </c>
      <c r="L57">
        <v>3.24</v>
      </c>
      <c r="M57">
        <v>3.24</v>
      </c>
      <c r="N57">
        <v>3.24</v>
      </c>
    </row>
    <row r="58" spans="3:18" x14ac:dyDescent="0.25">
      <c r="F58" t="s">
        <v>283</v>
      </c>
      <c r="G58">
        <v>11.34</v>
      </c>
      <c r="H58">
        <v>11.34</v>
      </c>
      <c r="K58">
        <v>11.34</v>
      </c>
      <c r="L58">
        <v>11.34</v>
      </c>
      <c r="M58">
        <v>11.34</v>
      </c>
      <c r="N58">
        <v>11.34</v>
      </c>
    </row>
    <row r="59" spans="3:18" ht="15.75" thickBot="1" x14ac:dyDescent="0.3">
      <c r="F59" s="112" t="s">
        <v>284</v>
      </c>
      <c r="G59" s="112">
        <v>11.34</v>
      </c>
      <c r="H59" s="112">
        <v>11.34</v>
      </c>
      <c r="I59" s="112"/>
      <c r="J59" s="112"/>
      <c r="K59" s="112">
        <v>11.34</v>
      </c>
      <c r="L59" s="112">
        <v>11.34</v>
      </c>
      <c r="M59" s="112">
        <v>11.34</v>
      </c>
      <c r="N59" s="112">
        <v>11.34</v>
      </c>
      <c r="O59" s="112"/>
      <c r="P59" s="112"/>
      <c r="Q59" s="112"/>
      <c r="R59" s="112"/>
    </row>
    <row r="60" spans="3:18" x14ac:dyDescent="0.25">
      <c r="C60" s="26" t="s">
        <v>249</v>
      </c>
      <c r="D60" s="26" t="s">
        <v>281</v>
      </c>
      <c r="E60" s="26" t="s">
        <v>135</v>
      </c>
      <c r="F60" t="s">
        <v>282</v>
      </c>
      <c r="H60">
        <v>2.4</v>
      </c>
      <c r="J60">
        <v>2.4</v>
      </c>
      <c r="M60">
        <v>2.4</v>
      </c>
      <c r="N60">
        <v>2.4</v>
      </c>
      <c r="Q60">
        <v>2.4</v>
      </c>
    </row>
    <row r="61" spans="3:18" x14ac:dyDescent="0.25">
      <c r="F61" t="s">
        <v>283</v>
      </c>
      <c r="H61">
        <v>8.4</v>
      </c>
      <c r="J61">
        <v>8.4</v>
      </c>
      <c r="M61">
        <v>8.4</v>
      </c>
      <c r="N61">
        <v>8.4</v>
      </c>
      <c r="Q61">
        <v>8.4</v>
      </c>
    </row>
    <row r="62" spans="3:18" ht="15.75" thickBot="1" x14ac:dyDescent="0.3">
      <c r="F62" s="112" t="s">
        <v>284</v>
      </c>
      <c r="G62" s="112"/>
      <c r="H62" s="112">
        <v>8.4</v>
      </c>
      <c r="I62" s="112"/>
      <c r="J62" s="112">
        <v>8.4</v>
      </c>
      <c r="K62" s="112"/>
      <c r="L62" s="112"/>
      <c r="M62" s="112">
        <v>8.4</v>
      </c>
      <c r="N62" s="112">
        <v>3.38</v>
      </c>
      <c r="O62" s="112"/>
      <c r="P62" s="112"/>
      <c r="Q62" s="112">
        <v>3.74000000000001</v>
      </c>
      <c r="R62" s="112"/>
    </row>
    <row r="63" spans="3:18" x14ac:dyDescent="0.25">
      <c r="C63" s="26"/>
      <c r="D63" s="26"/>
      <c r="E63" s="26" t="s">
        <v>136</v>
      </c>
      <c r="F63" t="s">
        <v>282</v>
      </c>
      <c r="O63">
        <v>2.4</v>
      </c>
      <c r="P63">
        <v>2.4</v>
      </c>
      <c r="Q63">
        <v>2.4</v>
      </c>
    </row>
    <row r="64" spans="3:18" x14ac:dyDescent="0.25">
      <c r="F64" t="s">
        <v>283</v>
      </c>
      <c r="O64">
        <v>8.4</v>
      </c>
      <c r="P64">
        <v>8.4</v>
      </c>
      <c r="Q64">
        <v>8.4</v>
      </c>
    </row>
    <row r="65" spans="3:18" ht="15.75" thickBot="1" x14ac:dyDescent="0.3">
      <c r="F65" s="112" t="s">
        <v>284</v>
      </c>
      <c r="G65" s="112"/>
      <c r="H65" s="112"/>
      <c r="I65" s="112"/>
      <c r="J65" s="112"/>
      <c r="K65" s="112"/>
      <c r="L65" s="112"/>
      <c r="M65" s="112"/>
      <c r="N65" s="112"/>
      <c r="O65" s="112">
        <v>3.6</v>
      </c>
      <c r="P65" s="112">
        <v>8.4</v>
      </c>
      <c r="Q65" s="112">
        <v>4.66</v>
      </c>
      <c r="R65" s="112"/>
    </row>
    <row r="66" spans="3:18" x14ac:dyDescent="0.25">
      <c r="C66" s="26"/>
      <c r="D66" s="26"/>
      <c r="E66" s="26" t="s">
        <v>137</v>
      </c>
      <c r="F66" t="s">
        <v>282</v>
      </c>
      <c r="G66">
        <v>3.6</v>
      </c>
      <c r="I66">
        <v>3.6</v>
      </c>
      <c r="K66">
        <v>3.6</v>
      </c>
      <c r="L66">
        <v>3.6</v>
      </c>
      <c r="N66">
        <v>3.6</v>
      </c>
      <c r="O66">
        <v>3.6</v>
      </c>
    </row>
    <row r="67" spans="3:18" x14ac:dyDescent="0.25">
      <c r="F67" t="s">
        <v>283</v>
      </c>
      <c r="G67">
        <v>8.4</v>
      </c>
      <c r="I67">
        <v>8.4</v>
      </c>
      <c r="K67">
        <v>8.4</v>
      </c>
      <c r="L67">
        <v>8.4</v>
      </c>
      <c r="N67">
        <v>8.4</v>
      </c>
      <c r="O67">
        <v>8.4</v>
      </c>
    </row>
    <row r="68" spans="3:18" ht="15.75" thickBot="1" x14ac:dyDescent="0.3">
      <c r="F68" s="112" t="s">
        <v>284</v>
      </c>
      <c r="G68" s="112">
        <v>8.4</v>
      </c>
      <c r="H68" s="112"/>
      <c r="I68" s="112">
        <v>8.4</v>
      </c>
      <c r="J68" s="112"/>
      <c r="K68" s="112">
        <v>8.4</v>
      </c>
      <c r="L68" s="112">
        <v>8.4</v>
      </c>
      <c r="M68" s="112"/>
      <c r="N68" s="112">
        <v>5.0199999999999996</v>
      </c>
      <c r="O68" s="112">
        <v>4.8</v>
      </c>
      <c r="P68" s="112"/>
      <c r="Q68" s="112"/>
      <c r="R68" s="112"/>
    </row>
    <row r="69" spans="3:18" x14ac:dyDescent="0.25">
      <c r="C69" s="26" t="s">
        <v>250</v>
      </c>
      <c r="D69" s="26" t="s">
        <v>281</v>
      </c>
      <c r="E69" s="26" t="s">
        <v>135</v>
      </c>
      <c r="F69" t="s">
        <v>282</v>
      </c>
      <c r="I69">
        <v>3.6</v>
      </c>
      <c r="J69">
        <v>3.6</v>
      </c>
      <c r="L69">
        <v>3.6</v>
      </c>
      <c r="M69">
        <v>3.6</v>
      </c>
      <c r="Q69">
        <v>3.6</v>
      </c>
    </row>
    <row r="70" spans="3:18" x14ac:dyDescent="0.25">
      <c r="F70" t="s">
        <v>283</v>
      </c>
      <c r="I70">
        <v>8.4</v>
      </c>
      <c r="J70">
        <v>8.4</v>
      </c>
      <c r="L70">
        <v>8.4</v>
      </c>
      <c r="M70">
        <v>8.4</v>
      </c>
      <c r="Q70">
        <v>8.4</v>
      </c>
    </row>
    <row r="71" spans="3:18" ht="15.75" thickBot="1" x14ac:dyDescent="0.3">
      <c r="F71" s="112" t="s">
        <v>284</v>
      </c>
      <c r="G71" s="112"/>
      <c r="H71" s="112"/>
      <c r="I71" s="112">
        <v>8.4</v>
      </c>
      <c r="J71" s="112">
        <v>8.4</v>
      </c>
      <c r="K71" s="112"/>
      <c r="L71" s="112">
        <v>8.4</v>
      </c>
      <c r="M71" s="112">
        <v>8.4</v>
      </c>
      <c r="N71" s="112"/>
      <c r="O71" s="112"/>
      <c r="P71" s="112"/>
      <c r="Q71" s="112">
        <v>8.4</v>
      </c>
      <c r="R71" s="112"/>
    </row>
    <row r="72" spans="3:18" x14ac:dyDescent="0.25">
      <c r="C72" s="26"/>
      <c r="D72" s="26"/>
      <c r="E72" s="26" t="s">
        <v>136</v>
      </c>
      <c r="F72" t="s">
        <v>282</v>
      </c>
      <c r="G72">
        <v>3.6</v>
      </c>
      <c r="H72">
        <v>3.6</v>
      </c>
      <c r="K72">
        <v>3.6</v>
      </c>
      <c r="O72">
        <v>3.6</v>
      </c>
      <c r="P72">
        <v>3.6</v>
      </c>
    </row>
    <row r="73" spans="3:18" x14ac:dyDescent="0.25">
      <c r="F73" t="s">
        <v>283</v>
      </c>
      <c r="G73">
        <v>8.4</v>
      </c>
      <c r="H73">
        <v>8.4</v>
      </c>
      <c r="K73">
        <v>8.4</v>
      </c>
      <c r="O73">
        <v>8.4</v>
      </c>
      <c r="P73">
        <v>8.4</v>
      </c>
    </row>
    <row r="74" spans="3:18" ht="15.75" thickBot="1" x14ac:dyDescent="0.3">
      <c r="F74" s="112" t="s">
        <v>284</v>
      </c>
      <c r="G74" s="112">
        <v>8.4</v>
      </c>
      <c r="H74" s="112">
        <v>8.4</v>
      </c>
      <c r="I74" s="112"/>
      <c r="J74" s="112"/>
      <c r="K74" s="112">
        <v>8.4</v>
      </c>
      <c r="L74" s="112"/>
      <c r="M74" s="112"/>
      <c r="N74" s="112"/>
      <c r="O74" s="112">
        <v>8.4</v>
      </c>
      <c r="P74" s="112">
        <v>8.4</v>
      </c>
      <c r="Q74" s="112"/>
      <c r="R74" s="112"/>
    </row>
    <row r="75" spans="3:18" x14ac:dyDescent="0.25">
      <c r="C75" s="26"/>
      <c r="D75" s="26"/>
      <c r="E75" s="26" t="s">
        <v>137</v>
      </c>
      <c r="F75" t="s">
        <v>282</v>
      </c>
      <c r="N75">
        <v>4.8</v>
      </c>
    </row>
    <row r="76" spans="3:18" x14ac:dyDescent="0.25">
      <c r="F76" t="s">
        <v>283</v>
      </c>
      <c r="N76">
        <v>8.4</v>
      </c>
    </row>
    <row r="77" spans="3:18" ht="15.75" thickBot="1" x14ac:dyDescent="0.3">
      <c r="F77" s="112" t="s">
        <v>284</v>
      </c>
      <c r="G77" s="112"/>
      <c r="H77" s="112"/>
      <c r="I77" s="112"/>
      <c r="J77" s="112"/>
      <c r="K77" s="112"/>
      <c r="L77" s="112"/>
      <c r="M77" s="112"/>
      <c r="N77" s="112">
        <v>8.4</v>
      </c>
      <c r="O77" s="112"/>
      <c r="P77" s="112"/>
      <c r="Q77" s="112"/>
      <c r="R77" s="112"/>
    </row>
    <row r="78" spans="3:18" x14ac:dyDescent="0.25">
      <c r="C78" s="26" t="s">
        <v>251</v>
      </c>
      <c r="D78" s="26" t="s">
        <v>281</v>
      </c>
      <c r="E78" s="26" t="s">
        <v>135</v>
      </c>
      <c r="F78" t="s">
        <v>282</v>
      </c>
      <c r="K78">
        <v>1.62</v>
      </c>
      <c r="N78">
        <v>1.62</v>
      </c>
      <c r="O78">
        <v>1.62</v>
      </c>
    </row>
    <row r="79" spans="3:18" x14ac:dyDescent="0.25">
      <c r="F79" t="s">
        <v>283</v>
      </c>
      <c r="K79">
        <v>11.34</v>
      </c>
      <c r="N79">
        <v>11.34</v>
      </c>
      <c r="O79">
        <v>11.34</v>
      </c>
    </row>
    <row r="80" spans="3:18" ht="15.75" thickBot="1" x14ac:dyDescent="0.3">
      <c r="F80" s="112" t="s">
        <v>284</v>
      </c>
      <c r="G80" s="112"/>
      <c r="H80" s="112"/>
      <c r="I80" s="112"/>
      <c r="J80" s="112"/>
      <c r="K80" s="112">
        <v>11.34</v>
      </c>
      <c r="L80" s="112"/>
      <c r="M80" s="112"/>
      <c r="N80" s="112">
        <v>11.34</v>
      </c>
      <c r="O80" s="112">
        <v>3.14</v>
      </c>
      <c r="P80" s="112"/>
      <c r="Q80" s="112"/>
      <c r="R80" s="112"/>
    </row>
    <row r="81" spans="3:18" x14ac:dyDescent="0.25">
      <c r="C81" s="26"/>
      <c r="D81" s="26"/>
      <c r="E81" s="26" t="s">
        <v>136</v>
      </c>
      <c r="F81" t="s">
        <v>282</v>
      </c>
      <c r="I81">
        <v>1.62</v>
      </c>
      <c r="J81">
        <v>1.62</v>
      </c>
      <c r="M81">
        <v>1.62</v>
      </c>
      <c r="Q81">
        <v>1.62</v>
      </c>
    </row>
    <row r="82" spans="3:18" x14ac:dyDescent="0.25">
      <c r="F82" t="s">
        <v>283</v>
      </c>
      <c r="I82">
        <v>11.34</v>
      </c>
      <c r="J82">
        <v>11.34</v>
      </c>
      <c r="M82">
        <v>11.34</v>
      </c>
      <c r="Q82">
        <v>11.34</v>
      </c>
    </row>
    <row r="83" spans="3:18" ht="15.75" thickBot="1" x14ac:dyDescent="0.3">
      <c r="F83" s="112" t="s">
        <v>284</v>
      </c>
      <c r="G83" s="112"/>
      <c r="H83" s="112"/>
      <c r="I83" s="112">
        <v>11.34</v>
      </c>
      <c r="J83" s="112">
        <v>11.34</v>
      </c>
      <c r="K83" s="112"/>
      <c r="L83" s="112"/>
      <c r="M83" s="112">
        <v>11.34</v>
      </c>
      <c r="N83" s="112"/>
      <c r="O83" s="112"/>
      <c r="P83" s="112"/>
      <c r="Q83" s="112">
        <v>11.34</v>
      </c>
      <c r="R83" s="112"/>
    </row>
    <row r="84" spans="3:18" x14ac:dyDescent="0.25">
      <c r="C84" s="26"/>
      <c r="D84" s="26"/>
      <c r="E84" s="26" t="s">
        <v>137</v>
      </c>
      <c r="F84" t="s">
        <v>282</v>
      </c>
      <c r="G84">
        <v>1.62</v>
      </c>
      <c r="H84">
        <v>1.62</v>
      </c>
      <c r="L84">
        <v>1.62</v>
      </c>
      <c r="O84">
        <v>1.62</v>
      </c>
      <c r="P84">
        <v>1.62</v>
      </c>
    </row>
    <row r="85" spans="3:18" x14ac:dyDescent="0.25">
      <c r="F85" t="s">
        <v>283</v>
      </c>
      <c r="G85">
        <v>11.34</v>
      </c>
      <c r="H85">
        <v>11.34</v>
      </c>
      <c r="L85">
        <v>11.34</v>
      </c>
      <c r="O85">
        <v>11.34</v>
      </c>
      <c r="P85">
        <v>11.34</v>
      </c>
    </row>
    <row r="86" spans="3:18" ht="15.75" thickBot="1" x14ac:dyDescent="0.3">
      <c r="F86" s="112" t="s">
        <v>284</v>
      </c>
      <c r="G86" s="112">
        <v>11.34</v>
      </c>
      <c r="H86" s="112">
        <v>11.34</v>
      </c>
      <c r="I86" s="112"/>
      <c r="J86" s="112"/>
      <c r="K86" s="112"/>
      <c r="L86" s="112">
        <v>11.34</v>
      </c>
      <c r="M86" s="112"/>
      <c r="N86" s="112"/>
      <c r="O86" s="112">
        <v>8.1999999999999993</v>
      </c>
      <c r="P86" s="112">
        <v>11.34</v>
      </c>
      <c r="Q86" s="112"/>
      <c r="R86" s="112"/>
    </row>
    <row r="87" spans="3:18" x14ac:dyDescent="0.25">
      <c r="C87" s="26" t="s">
        <v>252</v>
      </c>
      <c r="D87" s="26" t="s">
        <v>281</v>
      </c>
      <c r="E87" s="26" t="s">
        <v>135</v>
      </c>
      <c r="F87" t="s">
        <v>282</v>
      </c>
      <c r="G87">
        <v>3.24</v>
      </c>
      <c r="O87">
        <v>3.24</v>
      </c>
      <c r="P87">
        <v>3.24</v>
      </c>
      <c r="Q87">
        <v>3.24</v>
      </c>
    </row>
    <row r="88" spans="3:18" x14ac:dyDescent="0.25">
      <c r="F88" t="s">
        <v>283</v>
      </c>
      <c r="G88">
        <v>11.34</v>
      </c>
      <c r="O88">
        <v>11.34</v>
      </c>
      <c r="P88">
        <v>11.34</v>
      </c>
      <c r="Q88">
        <v>11.34</v>
      </c>
    </row>
    <row r="89" spans="3:18" ht="15.75" thickBot="1" x14ac:dyDescent="0.3">
      <c r="F89" s="112" t="s">
        <v>284</v>
      </c>
      <c r="G89" s="112">
        <v>11.34</v>
      </c>
      <c r="H89" s="112"/>
      <c r="I89" s="112"/>
      <c r="J89" s="112"/>
      <c r="K89" s="112"/>
      <c r="L89" s="112"/>
      <c r="M89" s="112"/>
      <c r="N89" s="112"/>
      <c r="O89" s="112">
        <v>11.34</v>
      </c>
      <c r="P89" s="112">
        <v>6.68</v>
      </c>
      <c r="Q89" s="112">
        <v>5.18</v>
      </c>
      <c r="R89" s="112"/>
    </row>
    <row r="90" spans="3:18" x14ac:dyDescent="0.25">
      <c r="C90" s="26"/>
      <c r="D90" s="26"/>
      <c r="E90" s="26" t="s">
        <v>136</v>
      </c>
      <c r="F90" t="s">
        <v>282</v>
      </c>
      <c r="H90">
        <v>4.8600000000000003</v>
      </c>
      <c r="N90">
        <v>4.8600000000000003</v>
      </c>
    </row>
    <row r="91" spans="3:18" x14ac:dyDescent="0.25">
      <c r="F91" t="s">
        <v>283</v>
      </c>
      <c r="H91">
        <v>11.34</v>
      </c>
      <c r="N91">
        <v>11.34</v>
      </c>
    </row>
    <row r="92" spans="3:18" ht="15.75" thickBot="1" x14ac:dyDescent="0.3">
      <c r="F92" s="112" t="s">
        <v>284</v>
      </c>
      <c r="G92" s="112"/>
      <c r="H92" s="112">
        <v>11.34</v>
      </c>
      <c r="I92" s="112"/>
      <c r="J92" s="112"/>
      <c r="K92" s="112"/>
      <c r="L92" s="112"/>
      <c r="M92" s="112"/>
      <c r="N92" s="112">
        <v>11.34</v>
      </c>
      <c r="O92" s="112"/>
      <c r="P92" s="112"/>
      <c r="Q92" s="112"/>
      <c r="R92" s="112"/>
    </row>
    <row r="93" spans="3:18" x14ac:dyDescent="0.25">
      <c r="C93" s="26"/>
      <c r="D93" s="26"/>
      <c r="E93" s="26" t="s">
        <v>137</v>
      </c>
      <c r="F93" t="s">
        <v>282</v>
      </c>
      <c r="I93">
        <v>3.24</v>
      </c>
      <c r="J93">
        <v>3.24</v>
      </c>
      <c r="K93">
        <v>3.24</v>
      </c>
      <c r="L93">
        <v>3.24</v>
      </c>
      <c r="M93">
        <v>3.24</v>
      </c>
      <c r="P93">
        <v>3.24</v>
      </c>
      <c r="Q93">
        <v>3.24</v>
      </c>
    </row>
    <row r="94" spans="3:18" x14ac:dyDescent="0.25">
      <c r="F94" t="s">
        <v>283</v>
      </c>
      <c r="I94">
        <v>11.34</v>
      </c>
      <c r="J94">
        <v>11.34</v>
      </c>
      <c r="K94">
        <v>11.34</v>
      </c>
      <c r="L94">
        <v>11.34</v>
      </c>
      <c r="M94">
        <v>11.34</v>
      </c>
      <c r="P94">
        <v>11.34</v>
      </c>
      <c r="Q94">
        <v>11.34</v>
      </c>
    </row>
    <row r="95" spans="3:18" ht="15.75" thickBot="1" x14ac:dyDescent="0.3">
      <c r="F95" s="112" t="s">
        <v>284</v>
      </c>
      <c r="G95" s="112"/>
      <c r="H95" s="112"/>
      <c r="I95" s="112">
        <v>11.34</v>
      </c>
      <c r="J95" s="112">
        <v>11.34</v>
      </c>
      <c r="K95" s="112">
        <v>11.34</v>
      </c>
      <c r="L95" s="112">
        <v>11.34</v>
      </c>
      <c r="M95" s="112">
        <v>11.34</v>
      </c>
      <c r="N95" s="112"/>
      <c r="O95" s="112"/>
      <c r="P95" s="112">
        <v>4.66</v>
      </c>
      <c r="Q95" s="112">
        <v>6.16</v>
      </c>
      <c r="R95" s="112"/>
    </row>
    <row r="96" spans="3:18" x14ac:dyDescent="0.25">
      <c r="C96" s="26" t="s">
        <v>256</v>
      </c>
      <c r="D96" s="26" t="s">
        <v>281</v>
      </c>
      <c r="E96" s="26" t="s">
        <v>133</v>
      </c>
      <c r="F96" t="s">
        <v>282</v>
      </c>
      <c r="H96">
        <v>0.48</v>
      </c>
      <c r="I96">
        <v>0.48</v>
      </c>
      <c r="J96">
        <v>0.48</v>
      </c>
      <c r="K96">
        <v>0.48</v>
      </c>
      <c r="L96">
        <v>0.48</v>
      </c>
      <c r="M96">
        <v>0.48</v>
      </c>
      <c r="O96">
        <v>0.48</v>
      </c>
      <c r="P96">
        <v>0.48</v>
      </c>
      <c r="Q96">
        <v>0.48</v>
      </c>
    </row>
    <row r="97" spans="3:18" x14ac:dyDescent="0.25">
      <c r="F97" t="s">
        <v>283</v>
      </c>
      <c r="H97">
        <v>1.68</v>
      </c>
      <c r="I97">
        <v>1.68</v>
      </c>
      <c r="J97">
        <v>1.68</v>
      </c>
      <c r="K97">
        <v>1.68</v>
      </c>
      <c r="L97">
        <v>1.68</v>
      </c>
      <c r="M97">
        <v>1.68</v>
      </c>
      <c r="O97">
        <v>1.68</v>
      </c>
      <c r="P97">
        <v>1.68</v>
      </c>
      <c r="Q97">
        <v>1.68</v>
      </c>
    </row>
    <row r="98" spans="3:18" ht="15.75" thickBot="1" x14ac:dyDescent="0.3">
      <c r="F98" s="112" t="s">
        <v>284</v>
      </c>
      <c r="G98" s="112"/>
      <c r="H98" s="112">
        <v>1.68</v>
      </c>
      <c r="I98" s="112">
        <v>1.68</v>
      </c>
      <c r="J98" s="112">
        <v>1.68</v>
      </c>
      <c r="K98" s="112">
        <v>1.68</v>
      </c>
      <c r="L98" s="112">
        <v>1.68</v>
      </c>
      <c r="M98" s="112">
        <v>1.68</v>
      </c>
      <c r="N98" s="112"/>
      <c r="O98" s="112">
        <v>1.68</v>
      </c>
      <c r="P98" s="112">
        <v>1.68</v>
      </c>
      <c r="Q98" s="112">
        <v>1.68</v>
      </c>
      <c r="R98" s="112"/>
    </row>
    <row r="99" spans="3:18" x14ac:dyDescent="0.25">
      <c r="C99" s="26"/>
      <c r="D99" s="26"/>
      <c r="E99" s="26" t="s">
        <v>134</v>
      </c>
      <c r="F99" t="s">
        <v>282</v>
      </c>
      <c r="G99">
        <v>0.72</v>
      </c>
      <c r="N99">
        <v>0.72</v>
      </c>
    </row>
    <row r="100" spans="3:18" x14ac:dyDescent="0.25">
      <c r="F100" t="s">
        <v>283</v>
      </c>
      <c r="G100">
        <v>1.68</v>
      </c>
      <c r="N100">
        <v>1.68</v>
      </c>
    </row>
    <row r="101" spans="3:18" ht="15.75" thickBot="1" x14ac:dyDescent="0.3">
      <c r="F101" s="112" t="s">
        <v>284</v>
      </c>
      <c r="G101" s="112">
        <v>1.68</v>
      </c>
      <c r="H101" s="112"/>
      <c r="I101" s="112"/>
      <c r="J101" s="112"/>
      <c r="K101" s="112"/>
      <c r="L101" s="112"/>
      <c r="M101" s="112"/>
      <c r="N101" s="112">
        <v>1.68</v>
      </c>
      <c r="O101" s="112"/>
      <c r="P101" s="112"/>
      <c r="Q101" s="112"/>
      <c r="R101" s="112"/>
    </row>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FF00"/>
  </sheetPr>
  <dimension ref="A1:R22"/>
  <sheetViews>
    <sheetView topLeftCell="A9" workbookViewId="0">
      <selection activeCell="D15" sqref="D15"/>
    </sheetView>
  </sheetViews>
  <sheetFormatPr defaultRowHeight="15" x14ac:dyDescent="0.25"/>
  <cols>
    <col min="1" max="1" width="22.140625" customWidth="1"/>
    <col min="2" max="2" width="9.7109375" customWidth="1"/>
    <col min="3" max="3" width="9.42578125" style="62" customWidth="1"/>
    <col min="4" max="4" width="10.7109375" customWidth="1"/>
    <col min="5" max="5" width="14.140625" bestFit="1" customWidth="1"/>
    <col min="6" max="17" width="10.7109375" bestFit="1" customWidth="1"/>
  </cols>
  <sheetData>
    <row r="1" spans="1:18" s="62" customFormat="1" x14ac:dyDescent="0.25">
      <c r="A1" s="113"/>
      <c r="B1" s="113"/>
      <c r="C1" s="113"/>
      <c r="D1" s="113"/>
    </row>
    <row r="2" spans="1:18" s="62" customFormat="1" x14ac:dyDescent="0.25">
      <c r="A2" s="113"/>
      <c r="B2" s="113"/>
      <c r="C2" s="113"/>
      <c r="D2" s="113"/>
    </row>
    <row r="3" spans="1:18" s="62" customFormat="1" ht="33.75" x14ac:dyDescent="0.5">
      <c r="A3" s="113"/>
      <c r="B3" s="113"/>
      <c r="C3" s="126" t="s">
        <v>289</v>
      </c>
    </row>
    <row r="4" spans="1:18" s="62" customFormat="1" x14ac:dyDescent="0.25">
      <c r="A4" s="113"/>
      <c r="B4" s="113"/>
      <c r="C4" s="113"/>
      <c r="D4" s="113"/>
    </row>
    <row r="5" spans="1:18" s="62" customFormat="1" x14ac:dyDescent="0.25">
      <c r="A5" s="113"/>
      <c r="B5" s="113"/>
      <c r="C5" s="113"/>
      <c r="D5" s="113"/>
    </row>
    <row r="6" spans="1:18" s="62" customFormat="1" x14ac:dyDescent="0.25">
      <c r="A6" s="113"/>
      <c r="B6" s="113"/>
      <c r="C6" s="113"/>
      <c r="D6" s="113"/>
    </row>
    <row r="7" spans="1:18" s="38" customFormat="1" ht="21" x14ac:dyDescent="0.35">
      <c r="A7" s="118" t="s">
        <v>294</v>
      </c>
      <c r="B7" s="117"/>
      <c r="C7" s="117"/>
      <c r="F7" s="8"/>
      <c r="G7" s="8"/>
      <c r="H7" s="8"/>
      <c r="I7" s="8"/>
      <c r="J7" s="8"/>
      <c r="K7" s="8"/>
      <c r="L7" s="8"/>
      <c r="M7" s="8"/>
      <c r="N7" s="8"/>
      <c r="O7" s="8"/>
      <c r="P7" s="8"/>
      <c r="Q7" s="8"/>
      <c r="R7" s="8"/>
    </row>
    <row r="8" spans="1:18" s="62" customFormat="1" ht="15.75" x14ac:dyDescent="0.25">
      <c r="A8" s="121" t="s">
        <v>286</v>
      </c>
      <c r="B8" s="109"/>
      <c r="C8" s="109"/>
      <c r="F8" s="8"/>
      <c r="G8" s="8"/>
      <c r="H8" s="8"/>
      <c r="I8" s="8"/>
      <c r="J8" s="8"/>
      <c r="K8" s="8"/>
      <c r="L8" s="8"/>
      <c r="M8" s="8"/>
      <c r="N8" s="8"/>
      <c r="O8" s="8"/>
      <c r="P8" s="8"/>
      <c r="Q8" s="8"/>
      <c r="R8" s="8"/>
    </row>
    <row r="9" spans="1:18" s="62" customFormat="1" ht="15.75" x14ac:dyDescent="0.25">
      <c r="A9" s="121"/>
      <c r="B9" s="109"/>
      <c r="C9" s="109"/>
      <c r="F9" s="8"/>
      <c r="G9" s="8"/>
      <c r="H9" s="8"/>
      <c r="I9" s="8"/>
      <c r="J9" s="8"/>
      <c r="K9" s="8"/>
      <c r="L9" s="8"/>
      <c r="M9" s="8"/>
      <c r="N9" s="8"/>
      <c r="O9" s="8"/>
      <c r="P9" s="8"/>
      <c r="Q9" s="8"/>
      <c r="R9" s="8"/>
    </row>
    <row r="10" spans="1:18" s="62" customFormat="1" ht="16.5" thickBot="1" x14ac:dyDescent="0.3">
      <c r="A10" s="121"/>
      <c r="B10" s="109"/>
      <c r="C10" s="109"/>
      <c r="F10" s="8"/>
      <c r="G10" s="8"/>
      <c r="H10" s="8"/>
      <c r="I10" s="8"/>
      <c r="J10" s="8"/>
      <c r="K10" s="8"/>
      <c r="L10" s="8"/>
      <c r="M10" s="8"/>
      <c r="N10" s="8"/>
      <c r="O10" s="8"/>
      <c r="P10" s="8"/>
      <c r="Q10" s="8"/>
      <c r="R10" s="8"/>
    </row>
    <row r="11" spans="1:18" s="62" customFormat="1" ht="16.5" thickBot="1" x14ac:dyDescent="0.3">
      <c r="A11" s="113"/>
      <c r="B11" s="113"/>
      <c r="C11" s="113"/>
      <c r="D11" s="113"/>
      <c r="E11" s="189" t="s">
        <v>292</v>
      </c>
      <c r="F11" s="190"/>
      <c r="G11" s="190"/>
      <c r="H11" s="190"/>
      <c r="I11" s="190"/>
      <c r="J11" s="190"/>
      <c r="K11" s="190"/>
      <c r="L11" s="190"/>
      <c r="M11" s="190"/>
      <c r="N11" s="190"/>
      <c r="O11" s="190"/>
      <c r="P11" s="191"/>
    </row>
    <row r="12" spans="1:18" s="62" customFormat="1" ht="14.45" customHeight="1" x14ac:dyDescent="0.25">
      <c r="B12" s="192" t="s">
        <v>291</v>
      </c>
      <c r="C12" s="195" t="s">
        <v>290</v>
      </c>
      <c r="D12" s="129" t="s">
        <v>293</v>
      </c>
      <c r="E12" s="129">
        <v>1</v>
      </c>
      <c r="F12" s="129">
        <v>2</v>
      </c>
      <c r="G12" s="129">
        <v>3</v>
      </c>
      <c r="H12" s="129">
        <v>4</v>
      </c>
      <c r="I12" s="129">
        <v>5</v>
      </c>
      <c r="J12" s="129">
        <v>6</v>
      </c>
      <c r="K12" s="129">
        <v>7</v>
      </c>
      <c r="L12" s="129">
        <v>8</v>
      </c>
      <c r="M12" s="129">
        <v>9</v>
      </c>
      <c r="N12" s="129">
        <v>10</v>
      </c>
      <c r="O12" s="129">
        <v>11</v>
      </c>
      <c r="P12" s="130">
        <v>12</v>
      </c>
      <c r="R12" s="8"/>
    </row>
    <row r="13" spans="1:18" s="62" customFormat="1" ht="14.45" customHeight="1" x14ac:dyDescent="0.25">
      <c r="B13" s="193"/>
      <c r="C13" s="196"/>
      <c r="D13" s="127">
        <v>43709</v>
      </c>
      <c r="E13" s="128">
        <f>D13+7</f>
        <v>43716</v>
      </c>
      <c r="F13" s="128">
        <f t="shared" ref="F13:P13" si="0">E13+7</f>
        <v>43723</v>
      </c>
      <c r="G13" s="128">
        <f t="shared" si="0"/>
        <v>43730</v>
      </c>
      <c r="H13" s="128">
        <f t="shared" si="0"/>
        <v>43737</v>
      </c>
      <c r="I13" s="128">
        <f t="shared" si="0"/>
        <v>43744</v>
      </c>
      <c r="J13" s="128">
        <f t="shared" si="0"/>
        <v>43751</v>
      </c>
      <c r="K13" s="128">
        <f t="shared" si="0"/>
        <v>43758</v>
      </c>
      <c r="L13" s="128">
        <f t="shared" si="0"/>
        <v>43765</v>
      </c>
      <c r="M13" s="128">
        <f t="shared" si="0"/>
        <v>43772</v>
      </c>
      <c r="N13" s="128">
        <f t="shared" si="0"/>
        <v>43779</v>
      </c>
      <c r="O13" s="128">
        <f t="shared" si="0"/>
        <v>43786</v>
      </c>
      <c r="P13" s="131">
        <f t="shared" si="0"/>
        <v>43793</v>
      </c>
    </row>
    <row r="14" spans="1:18" s="62" customFormat="1" ht="15.75" thickBot="1" x14ac:dyDescent="0.3">
      <c r="B14" s="194"/>
      <c r="C14" s="197"/>
      <c r="D14" s="110"/>
      <c r="E14" s="110"/>
      <c r="F14" s="110"/>
      <c r="G14" s="110"/>
      <c r="H14" s="110"/>
      <c r="I14" s="110"/>
      <c r="J14" s="110"/>
      <c r="K14" s="110"/>
      <c r="L14" s="110"/>
      <c r="M14" s="110"/>
      <c r="N14" s="110"/>
      <c r="O14" s="110"/>
      <c r="P14" s="132"/>
    </row>
    <row r="15" spans="1:18" s="62" customFormat="1" x14ac:dyDescent="0.25">
      <c r="A15" s="31" t="s">
        <v>154</v>
      </c>
      <c r="B15" s="138">
        <v>4.3</v>
      </c>
      <c r="C15" s="133">
        <v>1.3</v>
      </c>
      <c r="D15" s="135">
        <v>0.6</v>
      </c>
      <c r="E15" s="135">
        <v>0.6</v>
      </c>
      <c r="F15" s="135">
        <v>0.6</v>
      </c>
      <c r="G15" s="135">
        <v>0.6</v>
      </c>
      <c r="H15" s="135">
        <v>0.6</v>
      </c>
      <c r="I15" s="135">
        <v>0.6</v>
      </c>
      <c r="J15" s="135">
        <v>0.6</v>
      </c>
      <c r="K15" s="135">
        <v>0.6</v>
      </c>
      <c r="L15" s="135">
        <v>0.6</v>
      </c>
      <c r="M15" s="135">
        <v>0.6</v>
      </c>
      <c r="N15" s="135">
        <v>0.6</v>
      </c>
      <c r="O15" s="135">
        <v>0.81479999999999997</v>
      </c>
      <c r="P15" s="133">
        <v>2.8</v>
      </c>
    </row>
    <row r="16" spans="1:18" s="62" customFormat="1" x14ac:dyDescent="0.25">
      <c r="A16" s="31" t="s">
        <v>155</v>
      </c>
      <c r="B16" s="138">
        <v>0</v>
      </c>
      <c r="C16" s="133">
        <v>0</v>
      </c>
      <c r="D16" s="135">
        <v>1.3</v>
      </c>
      <c r="E16" s="135">
        <v>1.3</v>
      </c>
      <c r="F16" s="135">
        <v>1.3</v>
      </c>
      <c r="G16" s="135">
        <v>1.3</v>
      </c>
      <c r="H16" s="135">
        <v>1.3</v>
      </c>
      <c r="I16" s="135">
        <v>1.3</v>
      </c>
      <c r="J16" s="135">
        <v>1.3</v>
      </c>
      <c r="K16" s="135">
        <v>1.3</v>
      </c>
      <c r="L16" s="135">
        <v>1.3</v>
      </c>
      <c r="M16" s="135">
        <v>1.3</v>
      </c>
      <c r="N16" s="135">
        <v>1.3</v>
      </c>
      <c r="O16" s="135">
        <v>1.3</v>
      </c>
      <c r="P16" s="133">
        <v>1.3</v>
      </c>
    </row>
    <row r="17" spans="1:16" s="62" customFormat="1" x14ac:dyDescent="0.25">
      <c r="A17" s="31" t="s">
        <v>156</v>
      </c>
      <c r="B17" s="138">
        <v>30</v>
      </c>
      <c r="C17" s="133">
        <v>4</v>
      </c>
      <c r="D17" s="135">
        <v>4</v>
      </c>
      <c r="E17" s="135">
        <v>4</v>
      </c>
      <c r="F17" s="135">
        <v>4</v>
      </c>
      <c r="G17" s="135">
        <v>4</v>
      </c>
      <c r="H17" s="135">
        <v>4</v>
      </c>
      <c r="I17" s="135">
        <v>4</v>
      </c>
      <c r="J17" s="135">
        <v>4</v>
      </c>
      <c r="K17" s="135">
        <v>4</v>
      </c>
      <c r="L17" s="135">
        <v>4</v>
      </c>
      <c r="M17" s="135">
        <v>4</v>
      </c>
      <c r="N17" s="135">
        <v>4</v>
      </c>
      <c r="O17" s="135">
        <v>4</v>
      </c>
      <c r="P17" s="133">
        <v>4</v>
      </c>
    </row>
    <row r="18" spans="1:16" s="62" customFormat="1" x14ac:dyDescent="0.25">
      <c r="A18" s="31" t="s">
        <v>157</v>
      </c>
      <c r="B18" s="138">
        <v>16</v>
      </c>
      <c r="C18" s="133">
        <v>1.6</v>
      </c>
      <c r="D18" s="135">
        <v>1.6</v>
      </c>
      <c r="E18" s="135">
        <v>1.6</v>
      </c>
      <c r="F18" s="135">
        <v>16</v>
      </c>
      <c r="G18" s="135">
        <v>1.6</v>
      </c>
      <c r="H18" s="135">
        <v>16</v>
      </c>
      <c r="I18" s="135">
        <v>1.6</v>
      </c>
      <c r="J18" s="135">
        <v>16</v>
      </c>
      <c r="K18" s="135">
        <v>1.6</v>
      </c>
      <c r="L18" s="135">
        <v>1.6</v>
      </c>
      <c r="M18" s="135">
        <v>1.6</v>
      </c>
      <c r="N18" s="135">
        <v>16</v>
      </c>
      <c r="O18" s="135">
        <v>1.6</v>
      </c>
      <c r="P18" s="133">
        <v>16</v>
      </c>
    </row>
    <row r="19" spans="1:16" s="62" customFormat="1" x14ac:dyDescent="0.25">
      <c r="A19" s="31" t="s">
        <v>158</v>
      </c>
      <c r="B19" s="138">
        <v>2.8</v>
      </c>
      <c r="C19" s="133">
        <v>0.6</v>
      </c>
      <c r="D19" s="135">
        <v>1.6</v>
      </c>
      <c r="E19" s="135">
        <v>1.6</v>
      </c>
      <c r="F19" s="135">
        <v>16</v>
      </c>
      <c r="G19" s="135">
        <v>1.6</v>
      </c>
      <c r="H19" s="135">
        <v>16</v>
      </c>
      <c r="I19" s="135">
        <v>1.6</v>
      </c>
      <c r="J19" s="135">
        <v>16</v>
      </c>
      <c r="K19" s="135">
        <v>1.6</v>
      </c>
      <c r="L19" s="135">
        <v>1.6</v>
      </c>
      <c r="M19" s="135">
        <v>1.6</v>
      </c>
      <c r="N19" s="135">
        <v>16</v>
      </c>
      <c r="O19" s="135">
        <v>1.6</v>
      </c>
      <c r="P19" s="133">
        <v>16</v>
      </c>
    </row>
    <row r="20" spans="1:16" s="38" customFormat="1" x14ac:dyDescent="0.25">
      <c r="A20" s="31" t="s">
        <v>159</v>
      </c>
      <c r="B20" s="138">
        <v>0</v>
      </c>
      <c r="C20" s="137">
        <v>0</v>
      </c>
      <c r="D20" s="135">
        <v>1.6</v>
      </c>
      <c r="E20" s="135">
        <v>1.6</v>
      </c>
      <c r="F20" s="135">
        <v>16</v>
      </c>
      <c r="G20" s="135">
        <v>1.6</v>
      </c>
      <c r="H20" s="135">
        <v>16</v>
      </c>
      <c r="I20" s="135">
        <v>1.6</v>
      </c>
      <c r="J20" s="135">
        <v>16</v>
      </c>
      <c r="K20" s="135">
        <v>1.6</v>
      </c>
      <c r="L20" s="135">
        <v>1.6</v>
      </c>
      <c r="M20" s="135">
        <v>1.6</v>
      </c>
      <c r="N20" s="135">
        <v>16</v>
      </c>
      <c r="O20" s="135">
        <v>1.6</v>
      </c>
      <c r="P20" s="133">
        <v>16</v>
      </c>
    </row>
    <row r="21" spans="1:16" x14ac:dyDescent="0.25">
      <c r="A21" s="31" t="s">
        <v>160</v>
      </c>
      <c r="B21" s="138">
        <v>0</v>
      </c>
      <c r="C21" s="133">
        <v>0</v>
      </c>
      <c r="D21" s="135">
        <v>1.6</v>
      </c>
      <c r="E21" s="135">
        <v>1.6</v>
      </c>
      <c r="F21" s="135">
        <v>16</v>
      </c>
      <c r="G21" s="135">
        <v>1.6</v>
      </c>
      <c r="H21" s="135">
        <v>16</v>
      </c>
      <c r="I21" s="135">
        <v>1.6</v>
      </c>
      <c r="J21" s="135">
        <v>16</v>
      </c>
      <c r="K21" s="135">
        <v>1.6</v>
      </c>
      <c r="L21" s="135">
        <v>1.6</v>
      </c>
      <c r="M21" s="135">
        <v>1.6</v>
      </c>
      <c r="N21" s="135">
        <v>16</v>
      </c>
      <c r="O21" s="135">
        <v>1.6</v>
      </c>
      <c r="P21" s="133">
        <v>16</v>
      </c>
    </row>
    <row r="22" spans="1:16" ht="15.75" thickBot="1" x14ac:dyDescent="0.3">
      <c r="A22" s="31" t="s">
        <v>165</v>
      </c>
      <c r="B22" s="139">
        <v>0</v>
      </c>
      <c r="C22" s="134">
        <v>0</v>
      </c>
      <c r="D22" s="136">
        <v>1.6</v>
      </c>
      <c r="E22" s="136">
        <v>1.6</v>
      </c>
      <c r="F22" s="136">
        <v>16</v>
      </c>
      <c r="G22" s="136">
        <v>1.6</v>
      </c>
      <c r="H22" s="136">
        <v>16</v>
      </c>
      <c r="I22" s="136">
        <v>1.6</v>
      </c>
      <c r="J22" s="136">
        <v>16</v>
      </c>
      <c r="K22" s="136">
        <v>1.6</v>
      </c>
      <c r="L22" s="136">
        <v>1.6</v>
      </c>
      <c r="M22" s="136">
        <v>1.6</v>
      </c>
      <c r="N22" s="136">
        <v>16</v>
      </c>
      <c r="O22" s="136">
        <v>1.6</v>
      </c>
      <c r="P22" s="134">
        <v>16</v>
      </c>
    </row>
  </sheetData>
  <mergeCells count="3">
    <mergeCell ref="E11:P11"/>
    <mergeCell ref="B12:B14"/>
    <mergeCell ref="C12:C14"/>
  </mergeCell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FF00"/>
  </sheetPr>
  <dimension ref="A1:R61"/>
  <sheetViews>
    <sheetView topLeftCell="A8" workbookViewId="0">
      <selection activeCell="A47" sqref="A47"/>
    </sheetView>
  </sheetViews>
  <sheetFormatPr defaultColWidth="8.85546875" defaultRowHeight="15" x14ac:dyDescent="0.25"/>
  <cols>
    <col min="1" max="1" width="22.140625" style="62" customWidth="1"/>
    <col min="2" max="2" width="9.7109375" style="62" customWidth="1"/>
    <col min="3" max="3" width="9.42578125" style="62" customWidth="1"/>
    <col min="4" max="4" width="10.7109375" style="62" customWidth="1"/>
    <col min="5" max="5" width="14.140625" style="62" bestFit="1" customWidth="1"/>
    <col min="6" max="17" width="10.7109375" style="62" bestFit="1" customWidth="1"/>
    <col min="18" max="16384" width="8.85546875" style="62"/>
  </cols>
  <sheetData>
    <row r="1" spans="1:18" x14ac:dyDescent="0.25">
      <c r="A1" s="113"/>
      <c r="B1" s="113"/>
      <c r="C1" s="113"/>
      <c r="D1" s="113"/>
    </row>
    <row r="2" spans="1:18" x14ac:dyDescent="0.25">
      <c r="A2" s="113"/>
      <c r="B2" s="113"/>
      <c r="C2" s="113"/>
      <c r="D2" s="113"/>
    </row>
    <row r="3" spans="1:18" ht="33.75" x14ac:dyDescent="0.5">
      <c r="A3" s="113"/>
      <c r="B3" s="113"/>
      <c r="C3" s="126" t="s">
        <v>289</v>
      </c>
    </row>
    <row r="4" spans="1:18" x14ac:dyDescent="0.25">
      <c r="A4" s="113"/>
      <c r="B4" s="113"/>
      <c r="C4" s="113"/>
      <c r="D4" s="113"/>
    </row>
    <row r="5" spans="1:18" x14ac:dyDescent="0.25">
      <c r="A5" s="113"/>
      <c r="B5" s="113"/>
      <c r="C5" s="113"/>
      <c r="D5" s="113"/>
    </row>
    <row r="6" spans="1:18" x14ac:dyDescent="0.25">
      <c r="A6" s="113"/>
      <c r="B6" s="113"/>
      <c r="C6" s="113"/>
      <c r="D6" s="113"/>
    </row>
    <row r="7" spans="1:18" s="38" customFormat="1" ht="21" x14ac:dyDescent="0.35">
      <c r="A7" s="118" t="s">
        <v>295</v>
      </c>
      <c r="B7" s="117"/>
      <c r="C7" s="117"/>
      <c r="F7" s="8"/>
      <c r="G7" s="8"/>
      <c r="H7" s="8"/>
      <c r="I7" s="8"/>
      <c r="J7" s="8"/>
      <c r="K7" s="8"/>
      <c r="L7" s="8"/>
      <c r="M7" s="8"/>
      <c r="N7" s="8"/>
      <c r="O7" s="8"/>
      <c r="P7" s="8"/>
      <c r="Q7" s="8"/>
      <c r="R7" s="8"/>
    </row>
    <row r="8" spans="1:18" ht="15.75" x14ac:dyDescent="0.25">
      <c r="A8" s="121" t="s">
        <v>286</v>
      </c>
      <c r="B8" s="109"/>
      <c r="C8" s="109"/>
      <c r="F8" s="8"/>
      <c r="G8" s="8"/>
      <c r="H8" s="8"/>
      <c r="I8" s="8"/>
      <c r="J8" s="8"/>
      <c r="K8" s="8"/>
      <c r="L8" s="8"/>
      <c r="M8" s="8"/>
      <c r="N8" s="8"/>
      <c r="O8" s="8"/>
      <c r="P8" s="8"/>
      <c r="Q8" s="8"/>
      <c r="R8" s="8"/>
    </row>
    <row r="9" spans="1:18" ht="15.75" x14ac:dyDescent="0.25">
      <c r="A9" s="121"/>
      <c r="B9" s="109"/>
      <c r="C9" s="109"/>
      <c r="F9" s="8"/>
      <c r="G9" s="8"/>
      <c r="H9" s="8"/>
      <c r="I9" s="8"/>
      <c r="J9" s="8"/>
      <c r="K9" s="8"/>
      <c r="L9" s="8"/>
      <c r="M9" s="8"/>
      <c r="N9" s="8"/>
      <c r="O9" s="8"/>
      <c r="P9" s="8"/>
      <c r="Q9" s="8"/>
      <c r="R9" s="8"/>
    </row>
    <row r="10" spans="1:18" ht="21" x14ac:dyDescent="0.35">
      <c r="B10" s="140" t="s">
        <v>296</v>
      </c>
      <c r="C10" s="109"/>
      <c r="F10" s="8"/>
      <c r="G10" s="8"/>
      <c r="H10" s="8"/>
      <c r="I10" s="8"/>
      <c r="J10" s="8"/>
      <c r="K10" s="8"/>
      <c r="L10" s="8"/>
      <c r="M10" s="8"/>
      <c r="N10" s="8"/>
      <c r="O10" s="8"/>
      <c r="P10" s="8"/>
      <c r="Q10" s="8"/>
      <c r="R10" s="8"/>
    </row>
    <row r="11" spans="1:18" ht="16.5" thickBot="1" x14ac:dyDescent="0.3">
      <c r="A11" s="121"/>
      <c r="B11" s="109"/>
      <c r="C11" s="109"/>
      <c r="F11" s="8"/>
      <c r="G11" s="8"/>
      <c r="H11" s="8"/>
      <c r="I11" s="8"/>
      <c r="J11" s="8"/>
      <c r="K11" s="8"/>
      <c r="L11" s="8"/>
      <c r="M11" s="8"/>
      <c r="N11" s="8"/>
      <c r="O11" s="8"/>
      <c r="P11" s="8"/>
      <c r="Q11" s="8"/>
      <c r="R11" s="8"/>
    </row>
    <row r="12" spans="1:18" ht="16.5" thickBot="1" x14ac:dyDescent="0.3">
      <c r="A12" s="113"/>
      <c r="B12" s="113"/>
      <c r="C12" s="113"/>
      <c r="D12" s="113"/>
      <c r="E12" s="189" t="s">
        <v>292</v>
      </c>
      <c r="F12" s="190"/>
      <c r="G12" s="190"/>
      <c r="H12" s="190"/>
      <c r="I12" s="190"/>
      <c r="J12" s="190"/>
      <c r="K12" s="190"/>
      <c r="L12" s="190"/>
      <c r="M12" s="190"/>
      <c r="N12" s="190"/>
      <c r="O12" s="190"/>
      <c r="P12" s="191"/>
    </row>
    <row r="13" spans="1:18" ht="14.45" customHeight="1" x14ac:dyDescent="0.25">
      <c r="B13" s="192" t="s">
        <v>291</v>
      </c>
      <c r="C13" s="192" t="s">
        <v>290</v>
      </c>
      <c r="D13" s="129" t="s">
        <v>293</v>
      </c>
      <c r="E13" s="129">
        <v>1</v>
      </c>
      <c r="F13" s="129">
        <v>2</v>
      </c>
      <c r="G13" s="129">
        <v>3</v>
      </c>
      <c r="H13" s="129">
        <v>4</v>
      </c>
      <c r="I13" s="129">
        <v>5</v>
      </c>
      <c r="J13" s="129">
        <v>6</v>
      </c>
      <c r="K13" s="129">
        <v>7</v>
      </c>
      <c r="L13" s="129">
        <v>8</v>
      </c>
      <c r="M13" s="129">
        <v>9</v>
      </c>
      <c r="N13" s="129">
        <v>10</v>
      </c>
      <c r="O13" s="129">
        <v>11</v>
      </c>
      <c r="P13" s="130">
        <v>12</v>
      </c>
      <c r="R13" s="8"/>
    </row>
    <row r="14" spans="1:18" ht="14.45" customHeight="1" x14ac:dyDescent="0.25">
      <c r="B14" s="193"/>
      <c r="C14" s="193"/>
      <c r="D14" s="127">
        <v>43709</v>
      </c>
      <c r="E14" s="128">
        <f>D14+7</f>
        <v>43716</v>
      </c>
      <c r="F14" s="128">
        <f t="shared" ref="F14:P14" si="0">E14+7</f>
        <v>43723</v>
      </c>
      <c r="G14" s="128">
        <f t="shared" si="0"/>
        <v>43730</v>
      </c>
      <c r="H14" s="128">
        <f t="shared" si="0"/>
        <v>43737</v>
      </c>
      <c r="I14" s="128">
        <f t="shared" si="0"/>
        <v>43744</v>
      </c>
      <c r="J14" s="128">
        <f t="shared" si="0"/>
        <v>43751</v>
      </c>
      <c r="K14" s="128">
        <f t="shared" si="0"/>
        <v>43758</v>
      </c>
      <c r="L14" s="128">
        <f t="shared" si="0"/>
        <v>43765</v>
      </c>
      <c r="M14" s="128">
        <f t="shared" si="0"/>
        <v>43772</v>
      </c>
      <c r="N14" s="128">
        <f t="shared" si="0"/>
        <v>43779</v>
      </c>
      <c r="O14" s="128">
        <f t="shared" si="0"/>
        <v>43786</v>
      </c>
      <c r="P14" s="131">
        <f t="shared" si="0"/>
        <v>43793</v>
      </c>
    </row>
    <row r="15" spans="1:18" ht="15.75" thickBot="1" x14ac:dyDescent="0.3">
      <c r="B15" s="194"/>
      <c r="C15" s="194"/>
      <c r="D15" s="110"/>
      <c r="E15" s="110"/>
      <c r="F15" s="110"/>
      <c r="G15" s="110"/>
      <c r="H15" s="110"/>
      <c r="I15" s="110"/>
      <c r="J15" s="110"/>
      <c r="K15" s="110"/>
      <c r="L15" s="110"/>
      <c r="M15" s="110"/>
      <c r="N15" s="110"/>
      <c r="O15" s="110"/>
      <c r="P15" s="132"/>
    </row>
    <row r="16" spans="1:18" x14ac:dyDescent="0.25">
      <c r="A16" s="31" t="s">
        <v>128</v>
      </c>
      <c r="B16" s="138">
        <v>4.3</v>
      </c>
      <c r="C16" s="141">
        <v>1.3</v>
      </c>
      <c r="D16" s="135">
        <v>0</v>
      </c>
      <c r="E16" s="135">
        <v>0.6</v>
      </c>
      <c r="F16" s="135">
        <v>0.6</v>
      </c>
      <c r="G16" s="135">
        <v>0.6</v>
      </c>
      <c r="H16" s="135">
        <v>0.6</v>
      </c>
      <c r="I16" s="135">
        <v>0.6</v>
      </c>
      <c r="J16" s="135">
        <v>0.6</v>
      </c>
      <c r="K16" s="135">
        <v>0.6</v>
      </c>
      <c r="L16" s="135">
        <v>0.6</v>
      </c>
      <c r="M16" s="135">
        <v>0.6</v>
      </c>
      <c r="N16" s="135">
        <v>0.6</v>
      </c>
      <c r="O16" s="135">
        <v>0.81479999999999997</v>
      </c>
      <c r="P16" s="133">
        <v>2.8</v>
      </c>
    </row>
    <row r="17" spans="1:18" x14ac:dyDescent="0.25">
      <c r="A17" s="31" t="s">
        <v>129</v>
      </c>
      <c r="B17" s="138">
        <v>0</v>
      </c>
      <c r="C17" s="141">
        <v>0</v>
      </c>
      <c r="D17" s="135">
        <v>0</v>
      </c>
      <c r="E17" s="135">
        <v>1.3</v>
      </c>
      <c r="F17" s="135">
        <v>1.3</v>
      </c>
      <c r="G17" s="135">
        <v>1.3</v>
      </c>
      <c r="H17" s="135">
        <v>1.3</v>
      </c>
      <c r="I17" s="135">
        <v>1.3</v>
      </c>
      <c r="J17" s="135">
        <v>1.3</v>
      </c>
      <c r="K17" s="135">
        <v>1.3</v>
      </c>
      <c r="L17" s="135">
        <v>1.3</v>
      </c>
      <c r="M17" s="135">
        <v>1.3</v>
      </c>
      <c r="N17" s="135">
        <v>1.3</v>
      </c>
      <c r="O17" s="135">
        <v>1.3</v>
      </c>
      <c r="P17" s="133">
        <v>1.3</v>
      </c>
    </row>
    <row r="18" spans="1:18" x14ac:dyDescent="0.25">
      <c r="A18" s="31" t="s">
        <v>130</v>
      </c>
      <c r="B18" s="138">
        <v>30</v>
      </c>
      <c r="C18" s="141">
        <v>4</v>
      </c>
      <c r="D18" s="135">
        <v>0</v>
      </c>
      <c r="E18" s="135">
        <v>4</v>
      </c>
      <c r="F18" s="135">
        <v>4</v>
      </c>
      <c r="G18" s="135">
        <v>4</v>
      </c>
      <c r="H18" s="135">
        <v>4</v>
      </c>
      <c r="I18" s="135">
        <v>4</v>
      </c>
      <c r="J18" s="135">
        <v>4</v>
      </c>
      <c r="K18" s="135">
        <v>4</v>
      </c>
      <c r="L18" s="135">
        <v>4</v>
      </c>
      <c r="M18" s="135">
        <v>4</v>
      </c>
      <c r="N18" s="135">
        <v>4</v>
      </c>
      <c r="O18" s="135">
        <v>4</v>
      </c>
      <c r="P18" s="133">
        <v>4</v>
      </c>
    </row>
    <row r="19" spans="1:18" x14ac:dyDescent="0.25">
      <c r="A19" s="31" t="s">
        <v>131</v>
      </c>
      <c r="B19" s="138">
        <v>16</v>
      </c>
      <c r="C19" s="141">
        <v>1.6</v>
      </c>
      <c r="D19" s="135">
        <v>0</v>
      </c>
      <c r="E19" s="135">
        <v>1.6</v>
      </c>
      <c r="F19" s="135">
        <v>16</v>
      </c>
      <c r="G19" s="135">
        <v>1.6</v>
      </c>
      <c r="H19" s="135">
        <v>16</v>
      </c>
      <c r="I19" s="135">
        <v>1.6</v>
      </c>
      <c r="J19" s="135">
        <v>16</v>
      </c>
      <c r="K19" s="135">
        <v>1.6</v>
      </c>
      <c r="L19" s="135">
        <v>1.6</v>
      </c>
      <c r="M19" s="135">
        <v>1.6</v>
      </c>
      <c r="N19" s="135">
        <v>16</v>
      </c>
      <c r="O19" s="135">
        <v>1.6</v>
      </c>
      <c r="P19" s="133">
        <v>16</v>
      </c>
    </row>
    <row r="20" spans="1:18" x14ac:dyDescent="0.25">
      <c r="A20" s="31" t="s">
        <v>132</v>
      </c>
      <c r="B20" s="138">
        <v>2.8</v>
      </c>
      <c r="C20" s="141">
        <v>0.6</v>
      </c>
      <c r="D20" s="135">
        <v>0</v>
      </c>
      <c r="E20" s="135">
        <v>1.6</v>
      </c>
      <c r="F20" s="135">
        <v>16</v>
      </c>
      <c r="G20" s="135">
        <v>1.6</v>
      </c>
      <c r="H20" s="135">
        <v>16</v>
      </c>
      <c r="I20" s="135">
        <v>1.6</v>
      </c>
      <c r="J20" s="135">
        <v>16</v>
      </c>
      <c r="K20" s="135">
        <v>1.6</v>
      </c>
      <c r="L20" s="135">
        <v>1.6</v>
      </c>
      <c r="M20" s="135">
        <v>1.6</v>
      </c>
      <c r="N20" s="135">
        <v>16</v>
      </c>
      <c r="O20" s="135">
        <v>1.6</v>
      </c>
      <c r="P20" s="133">
        <v>16</v>
      </c>
    </row>
    <row r="21" spans="1:18" s="38" customFormat="1" x14ac:dyDescent="0.25">
      <c r="A21" s="31" t="s">
        <v>133</v>
      </c>
      <c r="B21" s="138">
        <v>0</v>
      </c>
      <c r="C21" s="138">
        <v>0</v>
      </c>
      <c r="D21" s="135">
        <v>0</v>
      </c>
      <c r="E21" s="135">
        <v>1.6</v>
      </c>
      <c r="F21" s="135">
        <v>16</v>
      </c>
      <c r="G21" s="135">
        <v>1.6</v>
      </c>
      <c r="H21" s="135">
        <v>16</v>
      </c>
      <c r="I21" s="135">
        <v>1.6</v>
      </c>
      <c r="J21" s="135">
        <v>16</v>
      </c>
      <c r="K21" s="135">
        <v>1.6</v>
      </c>
      <c r="L21" s="135">
        <v>1.6</v>
      </c>
      <c r="M21" s="135">
        <v>1.6</v>
      </c>
      <c r="N21" s="135">
        <v>16</v>
      </c>
      <c r="O21" s="135">
        <v>1.6</v>
      </c>
      <c r="P21" s="133">
        <v>16</v>
      </c>
    </row>
    <row r="22" spans="1:18" x14ac:dyDescent="0.25">
      <c r="A22" s="31" t="s">
        <v>134</v>
      </c>
      <c r="B22" s="138">
        <v>0</v>
      </c>
      <c r="C22" s="141">
        <v>0</v>
      </c>
      <c r="D22" s="135">
        <v>0</v>
      </c>
      <c r="E22" s="135">
        <v>1.6</v>
      </c>
      <c r="F22" s="135">
        <v>16</v>
      </c>
      <c r="G22" s="135">
        <v>1.6</v>
      </c>
      <c r="H22" s="135">
        <v>16</v>
      </c>
      <c r="I22" s="135">
        <v>1.6</v>
      </c>
      <c r="J22" s="135">
        <v>16</v>
      </c>
      <c r="K22" s="135">
        <v>1.6</v>
      </c>
      <c r="L22" s="135">
        <v>1.6</v>
      </c>
      <c r="M22" s="135">
        <v>1.6</v>
      </c>
      <c r="N22" s="135">
        <v>16</v>
      </c>
      <c r="O22" s="135">
        <v>1.6</v>
      </c>
      <c r="P22" s="133">
        <v>16</v>
      </c>
    </row>
    <row r="23" spans="1:18" x14ac:dyDescent="0.25">
      <c r="A23" s="31" t="s">
        <v>135</v>
      </c>
      <c r="B23" s="138">
        <v>0</v>
      </c>
      <c r="C23" s="141">
        <v>0</v>
      </c>
      <c r="D23" s="135">
        <v>0</v>
      </c>
      <c r="E23" s="135">
        <v>1.6</v>
      </c>
      <c r="F23" s="135">
        <v>16</v>
      </c>
      <c r="G23" s="135">
        <v>1.6</v>
      </c>
      <c r="H23" s="135">
        <v>16</v>
      </c>
      <c r="I23" s="135">
        <v>1.6</v>
      </c>
      <c r="J23" s="135">
        <v>16</v>
      </c>
      <c r="K23" s="135">
        <v>1.6</v>
      </c>
      <c r="L23" s="135">
        <v>1.6</v>
      </c>
      <c r="M23" s="135">
        <v>1.6</v>
      </c>
      <c r="N23" s="135">
        <v>16</v>
      </c>
      <c r="O23" s="135">
        <v>1.6</v>
      </c>
      <c r="P23" s="133">
        <v>16</v>
      </c>
      <c r="Q23" s="69"/>
    </row>
    <row r="24" spans="1:18" x14ac:dyDescent="0.25">
      <c r="A24" s="31" t="s">
        <v>136</v>
      </c>
      <c r="B24" s="138">
        <v>0</v>
      </c>
      <c r="C24" s="141">
        <v>0</v>
      </c>
      <c r="D24" s="135">
        <v>0</v>
      </c>
      <c r="E24" s="135">
        <v>1.6</v>
      </c>
      <c r="F24" s="135">
        <v>16</v>
      </c>
      <c r="G24" s="135">
        <v>1.6</v>
      </c>
      <c r="H24" s="135">
        <v>16</v>
      </c>
      <c r="I24" s="135">
        <v>1.6</v>
      </c>
      <c r="J24" s="135">
        <v>16</v>
      </c>
      <c r="K24" s="135">
        <v>1.6</v>
      </c>
      <c r="L24" s="135">
        <v>1.6</v>
      </c>
      <c r="M24" s="135">
        <v>1.6</v>
      </c>
      <c r="N24" s="135">
        <v>16</v>
      </c>
      <c r="O24" s="135">
        <v>1.6</v>
      </c>
      <c r="P24" s="133">
        <v>16</v>
      </c>
    </row>
    <row r="25" spans="1:18" ht="15.75" thickBot="1" x14ac:dyDescent="0.3">
      <c r="A25" s="31" t="s">
        <v>137</v>
      </c>
      <c r="B25" s="139">
        <v>0</v>
      </c>
      <c r="C25" s="142">
        <v>0</v>
      </c>
      <c r="D25" s="136">
        <v>0</v>
      </c>
      <c r="E25" s="136">
        <v>1.6</v>
      </c>
      <c r="F25" s="136">
        <v>16</v>
      </c>
      <c r="G25" s="136">
        <v>1.6</v>
      </c>
      <c r="H25" s="136">
        <v>16</v>
      </c>
      <c r="I25" s="136">
        <v>1.6</v>
      </c>
      <c r="J25" s="136">
        <v>16</v>
      </c>
      <c r="K25" s="136">
        <v>1.6</v>
      </c>
      <c r="L25" s="136">
        <v>1.6</v>
      </c>
      <c r="M25" s="136">
        <v>1.6</v>
      </c>
      <c r="N25" s="136">
        <v>16</v>
      </c>
      <c r="O25" s="136">
        <v>1.6</v>
      </c>
      <c r="P25" s="134">
        <v>16</v>
      </c>
    </row>
    <row r="28" spans="1:18" ht="21" x14ac:dyDescent="0.35">
      <c r="B28" s="140" t="s">
        <v>297</v>
      </c>
      <c r="C28" s="109"/>
      <c r="F28" s="8"/>
      <c r="G28" s="8"/>
      <c r="H28" s="8"/>
      <c r="I28" s="8"/>
      <c r="J28" s="8"/>
      <c r="K28" s="8"/>
      <c r="L28" s="8"/>
      <c r="M28" s="8"/>
      <c r="N28" s="8"/>
      <c r="O28" s="8"/>
      <c r="P28" s="8"/>
      <c r="Q28" s="8"/>
      <c r="R28" s="8"/>
    </row>
    <row r="29" spans="1:18" ht="16.5" thickBot="1" x14ac:dyDescent="0.3">
      <c r="A29" s="121"/>
      <c r="B29" s="109"/>
      <c r="C29" s="109"/>
      <c r="F29" s="8"/>
      <c r="G29" s="8"/>
      <c r="H29" s="8"/>
      <c r="I29" s="8"/>
      <c r="J29" s="8"/>
      <c r="K29" s="8"/>
      <c r="L29" s="8"/>
      <c r="M29" s="8"/>
      <c r="N29" s="8"/>
      <c r="O29" s="8"/>
      <c r="P29" s="8"/>
      <c r="Q29" s="8"/>
      <c r="R29" s="8"/>
    </row>
    <row r="30" spans="1:18" ht="16.5" thickBot="1" x14ac:dyDescent="0.3">
      <c r="A30" s="113"/>
      <c r="B30" s="113"/>
      <c r="C30" s="113"/>
      <c r="D30" s="113"/>
      <c r="E30" s="189" t="s">
        <v>292</v>
      </c>
      <c r="F30" s="190"/>
      <c r="G30" s="190"/>
      <c r="H30" s="190"/>
      <c r="I30" s="190"/>
      <c r="J30" s="190"/>
      <c r="K30" s="190"/>
      <c r="L30" s="190"/>
      <c r="M30" s="190"/>
      <c r="N30" s="190"/>
      <c r="O30" s="190"/>
      <c r="P30" s="191"/>
    </row>
    <row r="31" spans="1:18" ht="14.45" customHeight="1" x14ac:dyDescent="0.25">
      <c r="B31" s="192" t="s">
        <v>291</v>
      </c>
      <c r="C31" s="192" t="s">
        <v>290</v>
      </c>
      <c r="D31" s="129" t="s">
        <v>293</v>
      </c>
      <c r="E31" s="129">
        <v>1</v>
      </c>
      <c r="F31" s="129">
        <v>2</v>
      </c>
      <c r="G31" s="129">
        <v>3</v>
      </c>
      <c r="H31" s="129">
        <v>4</v>
      </c>
      <c r="I31" s="129">
        <v>5</v>
      </c>
      <c r="J31" s="129">
        <v>6</v>
      </c>
      <c r="K31" s="129">
        <v>7</v>
      </c>
      <c r="L31" s="129">
        <v>8</v>
      </c>
      <c r="M31" s="129">
        <v>9</v>
      </c>
      <c r="N31" s="129">
        <v>10</v>
      </c>
      <c r="O31" s="129">
        <v>11</v>
      </c>
      <c r="P31" s="130">
        <v>12</v>
      </c>
      <c r="R31" s="8"/>
    </row>
    <row r="32" spans="1:18" ht="14.45" customHeight="1" x14ac:dyDescent="0.25">
      <c r="B32" s="193"/>
      <c r="C32" s="193"/>
      <c r="D32" s="127">
        <v>43709</v>
      </c>
      <c r="E32" s="128">
        <f>D32+7</f>
        <v>43716</v>
      </c>
      <c r="F32" s="128">
        <f t="shared" ref="F32:P32" si="1">E32+7</f>
        <v>43723</v>
      </c>
      <c r="G32" s="128">
        <f t="shared" si="1"/>
        <v>43730</v>
      </c>
      <c r="H32" s="128">
        <f t="shared" si="1"/>
        <v>43737</v>
      </c>
      <c r="I32" s="128">
        <f t="shared" si="1"/>
        <v>43744</v>
      </c>
      <c r="J32" s="128">
        <f t="shared" si="1"/>
        <v>43751</v>
      </c>
      <c r="K32" s="128">
        <f t="shared" si="1"/>
        <v>43758</v>
      </c>
      <c r="L32" s="128">
        <f t="shared" si="1"/>
        <v>43765</v>
      </c>
      <c r="M32" s="128">
        <f t="shared" si="1"/>
        <v>43772</v>
      </c>
      <c r="N32" s="128">
        <f t="shared" si="1"/>
        <v>43779</v>
      </c>
      <c r="O32" s="128">
        <f t="shared" si="1"/>
        <v>43786</v>
      </c>
      <c r="P32" s="131">
        <f t="shared" si="1"/>
        <v>43793</v>
      </c>
    </row>
    <row r="33" spans="1:18" ht="15.75" thickBot="1" x14ac:dyDescent="0.3">
      <c r="B33" s="194"/>
      <c r="C33" s="194"/>
      <c r="D33" s="110"/>
      <c r="E33" s="110"/>
      <c r="F33" s="110"/>
      <c r="G33" s="110"/>
      <c r="H33" s="110"/>
      <c r="I33" s="110"/>
      <c r="J33" s="110"/>
      <c r="K33" s="110"/>
      <c r="L33" s="110"/>
      <c r="M33" s="110"/>
      <c r="N33" s="110"/>
      <c r="O33" s="110"/>
      <c r="P33" s="132"/>
    </row>
    <row r="34" spans="1:18" x14ac:dyDescent="0.25">
      <c r="A34" s="31" t="s">
        <v>128</v>
      </c>
      <c r="B34" s="138">
        <v>4.3</v>
      </c>
      <c r="C34" s="141">
        <v>1.3</v>
      </c>
      <c r="D34" s="135">
        <v>0</v>
      </c>
      <c r="E34" s="135">
        <v>0.6</v>
      </c>
      <c r="F34" s="135">
        <v>0.6</v>
      </c>
      <c r="G34" s="135">
        <v>0.6</v>
      </c>
      <c r="H34" s="135">
        <v>0.6</v>
      </c>
      <c r="I34" s="135">
        <v>0.6</v>
      </c>
      <c r="J34" s="135">
        <v>0.6</v>
      </c>
      <c r="K34" s="135">
        <v>0.6</v>
      </c>
      <c r="L34" s="135">
        <v>0.6</v>
      </c>
      <c r="M34" s="135">
        <v>0.6</v>
      </c>
      <c r="N34" s="135">
        <v>0.6</v>
      </c>
      <c r="O34" s="135">
        <v>0.81479999999999997</v>
      </c>
      <c r="P34" s="133">
        <v>2.8</v>
      </c>
    </row>
    <row r="35" spans="1:18" x14ac:dyDescent="0.25">
      <c r="A35" s="31" t="s">
        <v>129</v>
      </c>
      <c r="B35" s="138">
        <v>0</v>
      </c>
      <c r="C35" s="141">
        <v>0</v>
      </c>
      <c r="D35" s="135">
        <v>0</v>
      </c>
      <c r="E35" s="135">
        <v>1.3</v>
      </c>
      <c r="F35" s="135">
        <v>1.3</v>
      </c>
      <c r="G35" s="135">
        <v>1.3</v>
      </c>
      <c r="H35" s="135">
        <v>1.3</v>
      </c>
      <c r="I35" s="135">
        <v>1.3</v>
      </c>
      <c r="J35" s="135">
        <v>1.3</v>
      </c>
      <c r="K35" s="135">
        <v>1.3</v>
      </c>
      <c r="L35" s="135">
        <v>1.3</v>
      </c>
      <c r="M35" s="135">
        <v>1.3</v>
      </c>
      <c r="N35" s="135">
        <v>1.3</v>
      </c>
      <c r="O35" s="135">
        <v>1.3</v>
      </c>
      <c r="P35" s="133">
        <v>1.3</v>
      </c>
    </row>
    <row r="36" spans="1:18" x14ac:dyDescent="0.25">
      <c r="A36" s="31" t="s">
        <v>130</v>
      </c>
      <c r="B36" s="138">
        <v>30</v>
      </c>
      <c r="C36" s="141">
        <v>4</v>
      </c>
      <c r="D36" s="135">
        <v>0</v>
      </c>
      <c r="E36" s="135">
        <v>4</v>
      </c>
      <c r="F36" s="135">
        <v>4</v>
      </c>
      <c r="G36" s="135">
        <v>4</v>
      </c>
      <c r="H36" s="135">
        <v>4</v>
      </c>
      <c r="I36" s="135">
        <v>4</v>
      </c>
      <c r="J36" s="135">
        <v>4</v>
      </c>
      <c r="K36" s="135">
        <v>4</v>
      </c>
      <c r="L36" s="135">
        <v>4</v>
      </c>
      <c r="M36" s="135">
        <v>4</v>
      </c>
      <c r="N36" s="135">
        <v>4</v>
      </c>
      <c r="O36" s="135">
        <v>4</v>
      </c>
      <c r="P36" s="133">
        <v>4</v>
      </c>
    </row>
    <row r="37" spans="1:18" x14ac:dyDescent="0.25">
      <c r="A37" s="31" t="s">
        <v>131</v>
      </c>
      <c r="B37" s="138">
        <v>16</v>
      </c>
      <c r="C37" s="141">
        <v>1.6</v>
      </c>
      <c r="D37" s="135">
        <v>0</v>
      </c>
      <c r="E37" s="135">
        <v>1.6</v>
      </c>
      <c r="F37" s="135">
        <v>16</v>
      </c>
      <c r="G37" s="135">
        <v>1.6</v>
      </c>
      <c r="H37" s="135">
        <v>16</v>
      </c>
      <c r="I37" s="135">
        <v>1.6</v>
      </c>
      <c r="J37" s="135">
        <v>16</v>
      </c>
      <c r="K37" s="135">
        <v>1.6</v>
      </c>
      <c r="L37" s="135">
        <v>1.6</v>
      </c>
      <c r="M37" s="135">
        <v>1.6</v>
      </c>
      <c r="N37" s="135">
        <v>16</v>
      </c>
      <c r="O37" s="135">
        <v>1.6</v>
      </c>
      <c r="P37" s="133">
        <v>16</v>
      </c>
    </row>
    <row r="38" spans="1:18" x14ac:dyDescent="0.25">
      <c r="A38" s="31" t="s">
        <v>132</v>
      </c>
      <c r="B38" s="138">
        <v>2.8</v>
      </c>
      <c r="C38" s="141">
        <v>0.6</v>
      </c>
      <c r="D38" s="135">
        <v>0</v>
      </c>
      <c r="E38" s="135">
        <v>1.6</v>
      </c>
      <c r="F38" s="135">
        <v>16</v>
      </c>
      <c r="G38" s="135">
        <v>1.6</v>
      </c>
      <c r="H38" s="135">
        <v>16</v>
      </c>
      <c r="I38" s="135">
        <v>1.6</v>
      </c>
      <c r="J38" s="135">
        <v>16</v>
      </c>
      <c r="K38" s="135">
        <v>1.6</v>
      </c>
      <c r="L38" s="135">
        <v>1.6</v>
      </c>
      <c r="M38" s="135">
        <v>1.6</v>
      </c>
      <c r="N38" s="135">
        <v>16</v>
      </c>
      <c r="O38" s="135">
        <v>1.6</v>
      </c>
      <c r="P38" s="133">
        <v>16</v>
      </c>
    </row>
    <row r="39" spans="1:18" s="38" customFormat="1" x14ac:dyDescent="0.25">
      <c r="A39" s="31" t="s">
        <v>133</v>
      </c>
      <c r="B39" s="138">
        <v>0</v>
      </c>
      <c r="C39" s="138">
        <v>0</v>
      </c>
      <c r="D39" s="135">
        <v>0</v>
      </c>
      <c r="E39" s="135">
        <v>1.6</v>
      </c>
      <c r="F39" s="135">
        <v>16</v>
      </c>
      <c r="G39" s="135">
        <v>1.6</v>
      </c>
      <c r="H39" s="135">
        <v>16</v>
      </c>
      <c r="I39" s="135">
        <v>1.6</v>
      </c>
      <c r="J39" s="135">
        <v>16</v>
      </c>
      <c r="K39" s="135">
        <v>1.6</v>
      </c>
      <c r="L39" s="135">
        <v>1.6</v>
      </c>
      <c r="M39" s="135">
        <v>1.6</v>
      </c>
      <c r="N39" s="135">
        <v>16</v>
      </c>
      <c r="O39" s="135">
        <v>1.6</v>
      </c>
      <c r="P39" s="133">
        <v>16</v>
      </c>
    </row>
    <row r="40" spans="1:18" x14ac:dyDescent="0.25">
      <c r="A40" s="31" t="s">
        <v>134</v>
      </c>
      <c r="B40" s="138">
        <v>0</v>
      </c>
      <c r="C40" s="141">
        <v>0</v>
      </c>
      <c r="D40" s="135">
        <v>0</v>
      </c>
      <c r="E40" s="135">
        <v>1.6</v>
      </c>
      <c r="F40" s="135">
        <v>16</v>
      </c>
      <c r="G40" s="135">
        <v>1.6</v>
      </c>
      <c r="H40" s="135">
        <v>16</v>
      </c>
      <c r="I40" s="135">
        <v>1.6</v>
      </c>
      <c r="J40" s="135">
        <v>16</v>
      </c>
      <c r="K40" s="135">
        <v>1.6</v>
      </c>
      <c r="L40" s="135">
        <v>1.6</v>
      </c>
      <c r="M40" s="135">
        <v>1.6</v>
      </c>
      <c r="N40" s="135">
        <v>16</v>
      </c>
      <c r="O40" s="135">
        <v>1.6</v>
      </c>
      <c r="P40" s="133">
        <v>16</v>
      </c>
    </row>
    <row r="41" spans="1:18" x14ac:dyDescent="0.25">
      <c r="A41" s="31" t="s">
        <v>135</v>
      </c>
      <c r="B41" s="138">
        <v>0</v>
      </c>
      <c r="C41" s="141">
        <v>0</v>
      </c>
      <c r="D41" s="135">
        <v>0</v>
      </c>
      <c r="E41" s="135">
        <v>1.6</v>
      </c>
      <c r="F41" s="135">
        <v>16</v>
      </c>
      <c r="G41" s="135">
        <v>1.6</v>
      </c>
      <c r="H41" s="135">
        <v>16</v>
      </c>
      <c r="I41" s="135">
        <v>1.6</v>
      </c>
      <c r="J41" s="135">
        <v>16</v>
      </c>
      <c r="K41" s="135">
        <v>1.6</v>
      </c>
      <c r="L41" s="135">
        <v>1.6</v>
      </c>
      <c r="M41" s="135">
        <v>1.6</v>
      </c>
      <c r="N41" s="135">
        <v>16</v>
      </c>
      <c r="O41" s="135">
        <v>1.6</v>
      </c>
      <c r="P41" s="133">
        <v>16</v>
      </c>
      <c r="Q41" s="69"/>
    </row>
    <row r="42" spans="1:18" x14ac:dyDescent="0.25">
      <c r="A42" s="31" t="s">
        <v>136</v>
      </c>
      <c r="B42" s="138">
        <v>0</v>
      </c>
      <c r="C42" s="141">
        <v>0</v>
      </c>
      <c r="D42" s="135">
        <v>0</v>
      </c>
      <c r="E42" s="135">
        <v>1.6</v>
      </c>
      <c r="F42" s="135">
        <v>16</v>
      </c>
      <c r="G42" s="135">
        <v>1.6</v>
      </c>
      <c r="H42" s="135">
        <v>16</v>
      </c>
      <c r="I42" s="135">
        <v>1.6</v>
      </c>
      <c r="J42" s="135">
        <v>16</v>
      </c>
      <c r="K42" s="135">
        <v>1.6</v>
      </c>
      <c r="L42" s="135">
        <v>1.6</v>
      </c>
      <c r="M42" s="135">
        <v>1.6</v>
      </c>
      <c r="N42" s="135">
        <v>16</v>
      </c>
      <c r="O42" s="135">
        <v>1.6</v>
      </c>
      <c r="P42" s="133">
        <v>16</v>
      </c>
    </row>
    <row r="43" spans="1:18" ht="15.75" thickBot="1" x14ac:dyDescent="0.3">
      <c r="A43" s="31" t="s">
        <v>137</v>
      </c>
      <c r="B43" s="139">
        <v>0</v>
      </c>
      <c r="C43" s="142">
        <v>0</v>
      </c>
      <c r="D43" s="136">
        <v>0</v>
      </c>
      <c r="E43" s="136">
        <v>1.6</v>
      </c>
      <c r="F43" s="136">
        <v>16</v>
      </c>
      <c r="G43" s="136">
        <v>1.6</v>
      </c>
      <c r="H43" s="136">
        <v>16</v>
      </c>
      <c r="I43" s="136">
        <v>1.6</v>
      </c>
      <c r="J43" s="136">
        <v>16</v>
      </c>
      <c r="K43" s="136">
        <v>1.6</v>
      </c>
      <c r="L43" s="136">
        <v>1.6</v>
      </c>
      <c r="M43" s="136">
        <v>1.6</v>
      </c>
      <c r="N43" s="136">
        <v>16</v>
      </c>
      <c r="O43" s="136">
        <v>1.6</v>
      </c>
      <c r="P43" s="134">
        <v>16</v>
      </c>
    </row>
    <row r="46" spans="1:18" ht="21" x14ac:dyDescent="0.35">
      <c r="B46" s="140" t="s">
        <v>298</v>
      </c>
      <c r="C46" s="109"/>
      <c r="F46" s="8"/>
      <c r="G46" s="8"/>
      <c r="H46" s="8"/>
      <c r="I46" s="8"/>
      <c r="J46" s="8"/>
      <c r="K46" s="8"/>
      <c r="L46" s="8"/>
      <c r="M46" s="8"/>
      <c r="N46" s="8"/>
      <c r="O46" s="8"/>
      <c r="P46" s="8"/>
      <c r="Q46" s="8"/>
      <c r="R46" s="8"/>
    </row>
    <row r="47" spans="1:18" ht="16.5" thickBot="1" x14ac:dyDescent="0.3">
      <c r="A47" s="121"/>
      <c r="B47" s="109"/>
      <c r="C47" s="109"/>
      <c r="F47" s="8"/>
      <c r="G47" s="8"/>
      <c r="H47" s="8"/>
      <c r="I47" s="8"/>
      <c r="J47" s="8"/>
      <c r="K47" s="8"/>
      <c r="L47" s="8"/>
      <c r="M47" s="8"/>
      <c r="N47" s="8"/>
      <c r="O47" s="8"/>
      <c r="P47" s="8"/>
      <c r="Q47" s="8"/>
      <c r="R47" s="8"/>
    </row>
    <row r="48" spans="1:18" ht="16.5" thickBot="1" x14ac:dyDescent="0.3">
      <c r="A48" s="113"/>
      <c r="B48" s="113"/>
      <c r="C48" s="113"/>
      <c r="D48" s="113"/>
      <c r="E48" s="189" t="s">
        <v>292</v>
      </c>
      <c r="F48" s="190"/>
      <c r="G48" s="190"/>
      <c r="H48" s="190"/>
      <c r="I48" s="190"/>
      <c r="J48" s="190"/>
      <c r="K48" s="190"/>
      <c r="L48" s="190"/>
      <c r="M48" s="190"/>
      <c r="N48" s="190"/>
      <c r="O48" s="190"/>
      <c r="P48" s="191"/>
    </row>
    <row r="49" spans="1:18" ht="14.45" customHeight="1" x14ac:dyDescent="0.25">
      <c r="B49" s="192" t="s">
        <v>291</v>
      </c>
      <c r="C49" s="192" t="s">
        <v>290</v>
      </c>
      <c r="D49" s="129" t="s">
        <v>293</v>
      </c>
      <c r="E49" s="129">
        <v>1</v>
      </c>
      <c r="F49" s="129">
        <v>2</v>
      </c>
      <c r="G49" s="129">
        <v>3</v>
      </c>
      <c r="H49" s="129">
        <v>4</v>
      </c>
      <c r="I49" s="129">
        <v>5</v>
      </c>
      <c r="J49" s="129">
        <v>6</v>
      </c>
      <c r="K49" s="129">
        <v>7</v>
      </c>
      <c r="L49" s="129">
        <v>8</v>
      </c>
      <c r="M49" s="129">
        <v>9</v>
      </c>
      <c r="N49" s="129">
        <v>10</v>
      </c>
      <c r="O49" s="129">
        <v>11</v>
      </c>
      <c r="P49" s="130">
        <v>12</v>
      </c>
      <c r="R49" s="8"/>
    </row>
    <row r="50" spans="1:18" ht="14.45" customHeight="1" x14ac:dyDescent="0.25">
      <c r="B50" s="193"/>
      <c r="C50" s="193"/>
      <c r="D50" s="127">
        <v>43709</v>
      </c>
      <c r="E50" s="128">
        <f>D50+7</f>
        <v>43716</v>
      </c>
      <c r="F50" s="128">
        <f t="shared" ref="F50:P50" si="2">E50+7</f>
        <v>43723</v>
      </c>
      <c r="G50" s="128">
        <f t="shared" si="2"/>
        <v>43730</v>
      </c>
      <c r="H50" s="128">
        <f t="shared" si="2"/>
        <v>43737</v>
      </c>
      <c r="I50" s="128">
        <f t="shared" si="2"/>
        <v>43744</v>
      </c>
      <c r="J50" s="128">
        <f t="shared" si="2"/>
        <v>43751</v>
      </c>
      <c r="K50" s="128">
        <f t="shared" si="2"/>
        <v>43758</v>
      </c>
      <c r="L50" s="128">
        <f t="shared" si="2"/>
        <v>43765</v>
      </c>
      <c r="M50" s="128">
        <f t="shared" si="2"/>
        <v>43772</v>
      </c>
      <c r="N50" s="128">
        <f t="shared" si="2"/>
        <v>43779</v>
      </c>
      <c r="O50" s="128">
        <f t="shared" si="2"/>
        <v>43786</v>
      </c>
      <c r="P50" s="131">
        <f t="shared" si="2"/>
        <v>43793</v>
      </c>
    </row>
    <row r="51" spans="1:18" ht="15.75" thickBot="1" x14ac:dyDescent="0.3">
      <c r="B51" s="194"/>
      <c r="C51" s="194"/>
      <c r="D51" s="110"/>
      <c r="E51" s="110"/>
      <c r="F51" s="110"/>
      <c r="G51" s="110"/>
      <c r="H51" s="110"/>
      <c r="I51" s="110"/>
      <c r="J51" s="110"/>
      <c r="K51" s="110"/>
      <c r="L51" s="110"/>
      <c r="M51" s="110"/>
      <c r="N51" s="110"/>
      <c r="O51" s="110"/>
      <c r="P51" s="132"/>
    </row>
    <row r="52" spans="1:18" x14ac:dyDescent="0.25">
      <c r="A52" s="31" t="s">
        <v>128</v>
      </c>
      <c r="B52" s="138">
        <v>4.3</v>
      </c>
      <c r="C52" s="141">
        <v>1.3</v>
      </c>
      <c r="D52" s="135">
        <v>0</v>
      </c>
      <c r="E52" s="135">
        <v>0.6</v>
      </c>
      <c r="F52" s="135">
        <v>0.6</v>
      </c>
      <c r="G52" s="135">
        <v>0.6</v>
      </c>
      <c r="H52" s="135">
        <v>0.6</v>
      </c>
      <c r="I52" s="135">
        <v>0.6</v>
      </c>
      <c r="J52" s="135">
        <v>0.6</v>
      </c>
      <c r="K52" s="135">
        <v>0.6</v>
      </c>
      <c r="L52" s="135">
        <v>0.6</v>
      </c>
      <c r="M52" s="135">
        <v>0.6</v>
      </c>
      <c r="N52" s="135">
        <v>0.6</v>
      </c>
      <c r="O52" s="135">
        <v>0.81479999999999997</v>
      </c>
      <c r="P52" s="133">
        <v>2.8</v>
      </c>
    </row>
    <row r="53" spans="1:18" x14ac:dyDescent="0.25">
      <c r="A53" s="31" t="s">
        <v>129</v>
      </c>
      <c r="B53" s="138">
        <v>0</v>
      </c>
      <c r="C53" s="141">
        <v>0</v>
      </c>
      <c r="D53" s="135">
        <v>0</v>
      </c>
      <c r="E53" s="135">
        <v>1.3</v>
      </c>
      <c r="F53" s="135">
        <v>1.3</v>
      </c>
      <c r="G53" s="135">
        <v>1.3</v>
      </c>
      <c r="H53" s="135">
        <v>1.3</v>
      </c>
      <c r="I53" s="135">
        <v>1.3</v>
      </c>
      <c r="J53" s="135">
        <v>1.3</v>
      </c>
      <c r="K53" s="135">
        <v>1.3</v>
      </c>
      <c r="L53" s="135">
        <v>1.3</v>
      </c>
      <c r="M53" s="135">
        <v>1.3</v>
      </c>
      <c r="N53" s="135">
        <v>1.3</v>
      </c>
      <c r="O53" s="135">
        <v>1.3</v>
      </c>
      <c r="P53" s="133">
        <v>1.3</v>
      </c>
    </row>
    <row r="54" spans="1:18" x14ac:dyDescent="0.25">
      <c r="A54" s="31" t="s">
        <v>130</v>
      </c>
      <c r="B54" s="138">
        <v>30</v>
      </c>
      <c r="C54" s="141">
        <v>4</v>
      </c>
      <c r="D54" s="135">
        <v>0</v>
      </c>
      <c r="E54" s="135">
        <v>4</v>
      </c>
      <c r="F54" s="135">
        <v>4</v>
      </c>
      <c r="G54" s="135">
        <v>4</v>
      </c>
      <c r="H54" s="135">
        <v>4</v>
      </c>
      <c r="I54" s="135">
        <v>4</v>
      </c>
      <c r="J54" s="135">
        <v>4</v>
      </c>
      <c r="K54" s="135">
        <v>4</v>
      </c>
      <c r="L54" s="135">
        <v>4</v>
      </c>
      <c r="M54" s="135">
        <v>4</v>
      </c>
      <c r="N54" s="135">
        <v>4</v>
      </c>
      <c r="O54" s="135">
        <v>4</v>
      </c>
      <c r="P54" s="133">
        <v>4</v>
      </c>
    </row>
    <row r="55" spans="1:18" x14ac:dyDescent="0.25">
      <c r="A55" s="31" t="s">
        <v>131</v>
      </c>
      <c r="B55" s="138">
        <v>16</v>
      </c>
      <c r="C55" s="141">
        <v>1.6</v>
      </c>
      <c r="D55" s="135">
        <v>0</v>
      </c>
      <c r="E55" s="135">
        <v>1.6</v>
      </c>
      <c r="F55" s="135">
        <v>16</v>
      </c>
      <c r="G55" s="135">
        <v>1.6</v>
      </c>
      <c r="H55" s="135">
        <v>16</v>
      </c>
      <c r="I55" s="135">
        <v>1.6</v>
      </c>
      <c r="J55" s="135">
        <v>16</v>
      </c>
      <c r="K55" s="135">
        <v>1.6</v>
      </c>
      <c r="L55" s="135">
        <v>1.6</v>
      </c>
      <c r="M55" s="135">
        <v>1.6</v>
      </c>
      <c r="N55" s="135">
        <v>16</v>
      </c>
      <c r="O55" s="135">
        <v>1.6</v>
      </c>
      <c r="P55" s="133">
        <v>16</v>
      </c>
    </row>
    <row r="56" spans="1:18" x14ac:dyDescent="0.25">
      <c r="A56" s="31" t="s">
        <v>132</v>
      </c>
      <c r="B56" s="138">
        <v>2.8</v>
      </c>
      <c r="C56" s="141">
        <v>0.6</v>
      </c>
      <c r="D56" s="135">
        <v>0</v>
      </c>
      <c r="E56" s="135">
        <v>1.6</v>
      </c>
      <c r="F56" s="135">
        <v>16</v>
      </c>
      <c r="G56" s="135">
        <v>1.6</v>
      </c>
      <c r="H56" s="135">
        <v>16</v>
      </c>
      <c r="I56" s="135">
        <v>1.6</v>
      </c>
      <c r="J56" s="135">
        <v>16</v>
      </c>
      <c r="K56" s="135">
        <v>1.6</v>
      </c>
      <c r="L56" s="135">
        <v>1.6</v>
      </c>
      <c r="M56" s="135">
        <v>1.6</v>
      </c>
      <c r="N56" s="135">
        <v>16</v>
      </c>
      <c r="O56" s="135">
        <v>1.6</v>
      </c>
      <c r="P56" s="133">
        <v>16</v>
      </c>
    </row>
    <row r="57" spans="1:18" s="38" customFormat="1" x14ac:dyDescent="0.25">
      <c r="A57" s="31" t="s">
        <v>133</v>
      </c>
      <c r="B57" s="138">
        <v>0</v>
      </c>
      <c r="C57" s="138">
        <v>0</v>
      </c>
      <c r="D57" s="135">
        <v>0</v>
      </c>
      <c r="E57" s="135">
        <v>1.6</v>
      </c>
      <c r="F57" s="135">
        <v>16</v>
      </c>
      <c r="G57" s="135">
        <v>1.6</v>
      </c>
      <c r="H57" s="135">
        <v>16</v>
      </c>
      <c r="I57" s="135">
        <v>1.6</v>
      </c>
      <c r="J57" s="135">
        <v>16</v>
      </c>
      <c r="K57" s="135">
        <v>1.6</v>
      </c>
      <c r="L57" s="135">
        <v>1.6</v>
      </c>
      <c r="M57" s="135">
        <v>1.6</v>
      </c>
      <c r="N57" s="135">
        <v>16</v>
      </c>
      <c r="O57" s="135">
        <v>1.6</v>
      </c>
      <c r="P57" s="133">
        <v>16</v>
      </c>
    </row>
    <row r="58" spans="1:18" x14ac:dyDescent="0.25">
      <c r="A58" s="31" t="s">
        <v>134</v>
      </c>
      <c r="B58" s="138">
        <v>0</v>
      </c>
      <c r="C58" s="141">
        <v>0</v>
      </c>
      <c r="D58" s="135">
        <v>0</v>
      </c>
      <c r="E58" s="135">
        <v>1.6</v>
      </c>
      <c r="F58" s="135">
        <v>16</v>
      </c>
      <c r="G58" s="135">
        <v>1.6</v>
      </c>
      <c r="H58" s="135">
        <v>16</v>
      </c>
      <c r="I58" s="135">
        <v>1.6</v>
      </c>
      <c r="J58" s="135">
        <v>16</v>
      </c>
      <c r="K58" s="135">
        <v>1.6</v>
      </c>
      <c r="L58" s="135">
        <v>1.6</v>
      </c>
      <c r="M58" s="135">
        <v>1.6</v>
      </c>
      <c r="N58" s="135">
        <v>16</v>
      </c>
      <c r="O58" s="135">
        <v>1.6</v>
      </c>
      <c r="P58" s="133">
        <v>16</v>
      </c>
    </row>
    <row r="59" spans="1:18" x14ac:dyDescent="0.25">
      <c r="A59" s="31" t="s">
        <v>135</v>
      </c>
      <c r="B59" s="138">
        <v>0</v>
      </c>
      <c r="C59" s="141">
        <v>0</v>
      </c>
      <c r="D59" s="135">
        <v>0</v>
      </c>
      <c r="E59" s="135">
        <v>1.6</v>
      </c>
      <c r="F59" s="135">
        <v>16</v>
      </c>
      <c r="G59" s="135">
        <v>1.6</v>
      </c>
      <c r="H59" s="135">
        <v>16</v>
      </c>
      <c r="I59" s="135">
        <v>1.6</v>
      </c>
      <c r="J59" s="135">
        <v>16</v>
      </c>
      <c r="K59" s="135">
        <v>1.6</v>
      </c>
      <c r="L59" s="135">
        <v>1.6</v>
      </c>
      <c r="M59" s="135">
        <v>1.6</v>
      </c>
      <c r="N59" s="135">
        <v>16</v>
      </c>
      <c r="O59" s="135">
        <v>1.6</v>
      </c>
      <c r="P59" s="133">
        <v>16</v>
      </c>
      <c r="Q59" s="69"/>
    </row>
    <row r="60" spans="1:18" x14ac:dyDescent="0.25">
      <c r="A60" s="31" t="s">
        <v>136</v>
      </c>
      <c r="B60" s="138">
        <v>0</v>
      </c>
      <c r="C60" s="141">
        <v>0</v>
      </c>
      <c r="D60" s="135">
        <v>0</v>
      </c>
      <c r="E60" s="135">
        <v>1.6</v>
      </c>
      <c r="F60" s="135">
        <v>16</v>
      </c>
      <c r="G60" s="135">
        <v>1.6</v>
      </c>
      <c r="H60" s="135">
        <v>16</v>
      </c>
      <c r="I60" s="135">
        <v>1.6</v>
      </c>
      <c r="J60" s="135">
        <v>16</v>
      </c>
      <c r="K60" s="135">
        <v>1.6</v>
      </c>
      <c r="L60" s="135">
        <v>1.6</v>
      </c>
      <c r="M60" s="135">
        <v>1.6</v>
      </c>
      <c r="N60" s="135">
        <v>16</v>
      </c>
      <c r="O60" s="135">
        <v>1.6</v>
      </c>
      <c r="P60" s="133">
        <v>16</v>
      </c>
    </row>
    <row r="61" spans="1:18" ht="15.75" thickBot="1" x14ac:dyDescent="0.3">
      <c r="A61" s="31" t="s">
        <v>137</v>
      </c>
      <c r="B61" s="139">
        <v>0</v>
      </c>
      <c r="C61" s="142">
        <v>0</v>
      </c>
      <c r="D61" s="136">
        <v>0</v>
      </c>
      <c r="E61" s="136">
        <v>1.6</v>
      </c>
      <c r="F61" s="136">
        <v>16</v>
      </c>
      <c r="G61" s="136">
        <v>1.6</v>
      </c>
      <c r="H61" s="136">
        <v>16</v>
      </c>
      <c r="I61" s="136">
        <v>1.6</v>
      </c>
      <c r="J61" s="136">
        <v>16</v>
      </c>
      <c r="K61" s="136">
        <v>1.6</v>
      </c>
      <c r="L61" s="136">
        <v>1.6</v>
      </c>
      <c r="M61" s="136">
        <v>1.6</v>
      </c>
      <c r="N61" s="136">
        <v>16</v>
      </c>
      <c r="O61" s="136">
        <v>1.6</v>
      </c>
      <c r="P61" s="134">
        <v>16</v>
      </c>
    </row>
  </sheetData>
  <mergeCells count="9">
    <mergeCell ref="E48:P48"/>
    <mergeCell ref="B49:B51"/>
    <mergeCell ref="C49:C51"/>
    <mergeCell ref="E12:P12"/>
    <mergeCell ref="B13:B15"/>
    <mergeCell ref="C13:C15"/>
    <mergeCell ref="E30:P30"/>
    <mergeCell ref="B31:B33"/>
    <mergeCell ref="C31:C33"/>
  </mergeCell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S13"/>
  <sheetViews>
    <sheetView workbookViewId="0">
      <selection activeCell="M19" sqref="M19"/>
    </sheetView>
  </sheetViews>
  <sheetFormatPr defaultColWidth="8.85546875" defaultRowHeight="15" x14ac:dyDescent="0.25"/>
  <cols>
    <col min="1" max="1" width="22.140625" style="62" customWidth="1"/>
    <col min="2" max="2" width="9.7109375" style="62" customWidth="1"/>
    <col min="3" max="3" width="9.42578125" style="62" customWidth="1"/>
    <col min="4" max="4" width="10.7109375" style="62" customWidth="1"/>
    <col min="5" max="6" width="9.28515625" style="62" customWidth="1"/>
    <col min="7" max="7" width="9.140625" style="62" customWidth="1"/>
    <col min="8" max="18" width="10.7109375" style="62" bestFit="1" customWidth="1"/>
    <col min="19" max="16384" width="8.85546875" style="62"/>
  </cols>
  <sheetData>
    <row r="1" spans="1:19" x14ac:dyDescent="0.25">
      <c r="A1" s="114"/>
      <c r="B1" s="114"/>
      <c r="C1" s="114"/>
      <c r="D1" s="114"/>
    </row>
    <row r="2" spans="1:19" x14ac:dyDescent="0.25">
      <c r="A2" s="114"/>
      <c r="B2" s="114"/>
      <c r="C2" s="114"/>
      <c r="D2" s="114"/>
    </row>
    <row r="3" spans="1:19" ht="33.75" x14ac:dyDescent="0.5">
      <c r="A3" s="114"/>
      <c r="B3" s="114"/>
      <c r="C3" s="126" t="s">
        <v>289</v>
      </c>
    </row>
    <row r="4" spans="1:19" x14ac:dyDescent="0.25">
      <c r="A4" s="114"/>
      <c r="B4" s="114"/>
      <c r="C4" s="114"/>
      <c r="D4" s="114"/>
    </row>
    <row r="5" spans="1:19" x14ac:dyDescent="0.25">
      <c r="A5" s="114"/>
      <c r="B5" s="114"/>
      <c r="C5" s="114"/>
      <c r="D5" s="114"/>
    </row>
    <row r="6" spans="1:19" x14ac:dyDescent="0.25">
      <c r="A6" s="114"/>
      <c r="B6" s="114"/>
      <c r="C6" s="114"/>
      <c r="D6" s="114"/>
    </row>
    <row r="7" spans="1:19" s="38" customFormat="1" ht="21" x14ac:dyDescent="0.35">
      <c r="A7" s="118" t="s">
        <v>299</v>
      </c>
      <c r="B7" s="117"/>
      <c r="C7" s="117"/>
      <c r="G7" s="8"/>
      <c r="H7" s="8"/>
      <c r="I7" s="8"/>
      <c r="J7" s="8"/>
      <c r="K7" s="8"/>
      <c r="L7" s="8"/>
      <c r="M7" s="8"/>
      <c r="N7" s="8"/>
      <c r="O7" s="8"/>
      <c r="P7" s="8"/>
      <c r="Q7" s="8"/>
      <c r="R7" s="8"/>
      <c r="S7" s="8"/>
    </row>
    <row r="8" spans="1:19" ht="15.75" x14ac:dyDescent="0.25">
      <c r="A8" s="121" t="s">
        <v>286</v>
      </c>
      <c r="B8" s="109"/>
      <c r="C8" s="109"/>
      <c r="G8" s="8"/>
      <c r="H8" s="8"/>
      <c r="I8" s="8"/>
      <c r="J8" s="8"/>
      <c r="K8" s="8"/>
      <c r="L8" s="8"/>
      <c r="M8" s="8"/>
      <c r="N8" s="8"/>
      <c r="O8" s="8"/>
      <c r="P8" s="8"/>
      <c r="Q8" s="8"/>
      <c r="R8" s="8"/>
      <c r="S8" s="8"/>
    </row>
    <row r="9" spans="1:19" ht="16.5" thickBot="1" x14ac:dyDescent="0.3">
      <c r="A9" s="121"/>
      <c r="B9" s="109"/>
      <c r="C9" s="109"/>
      <c r="G9" s="8"/>
      <c r="H9" s="8"/>
      <c r="I9" s="8"/>
      <c r="J9" s="8"/>
      <c r="K9" s="8"/>
      <c r="L9" s="8"/>
      <c r="M9" s="8"/>
      <c r="N9" s="8"/>
      <c r="O9" s="8"/>
      <c r="P9" s="8"/>
      <c r="Q9" s="8"/>
      <c r="R9" s="8"/>
      <c r="S9" s="8"/>
    </row>
    <row r="10" spans="1:19" ht="16.5" thickBot="1" x14ac:dyDescent="0.3">
      <c r="A10" s="121"/>
      <c r="B10" s="109"/>
      <c r="C10" s="109"/>
      <c r="E10" s="198" t="s">
        <v>305</v>
      </c>
      <c r="F10" s="199"/>
      <c r="G10" s="195"/>
      <c r="H10" s="8"/>
      <c r="I10" s="8"/>
      <c r="J10" s="8"/>
      <c r="K10" s="8"/>
      <c r="L10" s="8"/>
      <c r="M10" s="8"/>
      <c r="N10" s="8"/>
      <c r="O10" s="8"/>
      <c r="P10" s="8"/>
      <c r="Q10" s="8"/>
      <c r="R10" s="8"/>
      <c r="S10" s="8"/>
    </row>
    <row r="11" spans="1:19" s="145" customFormat="1" ht="45.75" thickBot="1" x14ac:dyDescent="0.3">
      <c r="A11" s="143"/>
      <c r="B11" s="149" t="s">
        <v>300</v>
      </c>
      <c r="C11" s="150" t="s">
        <v>301</v>
      </c>
      <c r="D11" s="151" t="s">
        <v>302</v>
      </c>
      <c r="E11" s="146" t="s">
        <v>304</v>
      </c>
      <c r="F11" s="148" t="s">
        <v>303</v>
      </c>
      <c r="G11" s="147" t="s">
        <v>307</v>
      </c>
      <c r="H11" s="152" t="s">
        <v>310</v>
      </c>
      <c r="I11" s="153" t="s">
        <v>306</v>
      </c>
      <c r="J11" s="153" t="s">
        <v>309</v>
      </c>
      <c r="K11" s="151" t="s">
        <v>308</v>
      </c>
      <c r="L11" s="144"/>
      <c r="M11" s="144"/>
      <c r="N11" s="144"/>
      <c r="O11" s="144"/>
      <c r="P11" s="144"/>
      <c r="Q11" s="144"/>
      <c r="R11" s="144"/>
      <c r="S11" s="144"/>
    </row>
    <row r="12" spans="1:19" ht="15.75" x14ac:dyDescent="0.25">
      <c r="A12" s="121"/>
      <c r="B12" s="109"/>
      <c r="C12" s="109"/>
      <c r="G12" s="8"/>
      <c r="H12" s="8"/>
      <c r="I12" s="8"/>
      <c r="J12" s="8"/>
      <c r="K12" s="8"/>
      <c r="L12" s="8"/>
      <c r="M12" s="8"/>
      <c r="N12" s="8"/>
      <c r="O12" s="8"/>
      <c r="P12" s="8"/>
      <c r="Q12" s="8"/>
      <c r="R12" s="8"/>
      <c r="S12" s="8"/>
    </row>
    <row r="13" spans="1:19" ht="15.75" x14ac:dyDescent="0.25">
      <c r="A13" s="121"/>
      <c r="B13" s="109"/>
      <c r="C13" s="109"/>
      <c r="G13" s="8"/>
      <c r="H13" s="8"/>
      <c r="I13" s="8"/>
      <c r="J13" s="8"/>
      <c r="K13" s="8"/>
      <c r="L13" s="8"/>
      <c r="M13" s="8"/>
      <c r="N13" s="8"/>
      <c r="O13" s="8"/>
      <c r="P13" s="8"/>
      <c r="Q13" s="8"/>
      <c r="R13" s="8"/>
      <c r="S13" s="8"/>
    </row>
  </sheetData>
  <mergeCells count="1">
    <mergeCell ref="E10:G10"/>
  </mergeCell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7:D21"/>
  <sheetViews>
    <sheetView workbookViewId="0">
      <selection activeCell="C7" sqref="C7"/>
    </sheetView>
  </sheetViews>
  <sheetFormatPr defaultRowHeight="15" x14ac:dyDescent="0.25"/>
  <cols>
    <col min="1" max="1" width="19" customWidth="1"/>
    <col min="2" max="2" width="4.7109375" customWidth="1"/>
    <col min="3" max="3" width="65.140625" bestFit="1" customWidth="1"/>
    <col min="4" max="4" width="110.5703125" customWidth="1"/>
  </cols>
  <sheetData>
    <row r="7" spans="1:4" ht="21" x14ac:dyDescent="0.35">
      <c r="C7" s="50" t="s">
        <v>311</v>
      </c>
    </row>
    <row r="9" spans="1:4" ht="15.75" x14ac:dyDescent="0.25">
      <c r="A9" s="46" t="s">
        <v>184</v>
      </c>
    </row>
    <row r="10" spans="1:4" x14ac:dyDescent="0.25">
      <c r="B10" s="7">
        <v>1</v>
      </c>
      <c r="C10" t="s">
        <v>185</v>
      </c>
    </row>
    <row r="11" spans="1:4" x14ac:dyDescent="0.25">
      <c r="B11" s="7">
        <v>2</v>
      </c>
      <c r="C11" t="s">
        <v>186</v>
      </c>
    </row>
    <row r="12" spans="1:4" x14ac:dyDescent="0.25">
      <c r="B12" s="7"/>
    </row>
    <row r="13" spans="1:4" ht="15.75" x14ac:dyDescent="0.25">
      <c r="A13" s="46" t="s">
        <v>203</v>
      </c>
    </row>
    <row r="14" spans="1:4" s="47" customFormat="1" x14ac:dyDescent="0.25">
      <c r="B14" s="48">
        <v>1</v>
      </c>
      <c r="C14" s="47" t="s">
        <v>178</v>
      </c>
      <c r="D14" s="49" t="s">
        <v>181</v>
      </c>
    </row>
    <row r="15" spans="1:4" s="47" customFormat="1" x14ac:dyDescent="0.25">
      <c r="B15" s="48">
        <v>2</v>
      </c>
      <c r="C15" s="47" t="s">
        <v>177</v>
      </c>
      <c r="D15" s="49" t="s">
        <v>180</v>
      </c>
    </row>
    <row r="16" spans="1:4" s="47" customFormat="1" ht="60" x14ac:dyDescent="0.25">
      <c r="B16" s="48">
        <v>3</v>
      </c>
      <c r="C16" s="47" t="s">
        <v>176</v>
      </c>
      <c r="D16" s="49" t="s">
        <v>182</v>
      </c>
    </row>
    <row r="17" spans="2:4" s="47" customFormat="1" x14ac:dyDescent="0.25">
      <c r="B17" s="48">
        <v>4</v>
      </c>
      <c r="C17" s="47" t="s">
        <v>179</v>
      </c>
      <c r="D17" s="49" t="s">
        <v>183</v>
      </c>
    </row>
    <row r="18" spans="2:4" s="47" customFormat="1" ht="30" x14ac:dyDescent="0.25">
      <c r="B18" s="48">
        <v>5</v>
      </c>
      <c r="C18" s="47" t="s">
        <v>188</v>
      </c>
      <c r="D18" s="49" t="s">
        <v>189</v>
      </c>
    </row>
    <row r="19" spans="2:4" s="47" customFormat="1" x14ac:dyDescent="0.25">
      <c r="B19" s="48">
        <v>6</v>
      </c>
      <c r="C19" s="47" t="s">
        <v>202</v>
      </c>
      <c r="D19" s="47" t="s">
        <v>204</v>
      </c>
    </row>
    <row r="20" spans="2:4" x14ac:dyDescent="0.25">
      <c r="B20" s="7"/>
    </row>
    <row r="21" spans="2:4" x14ac:dyDescent="0.25">
      <c r="B21" s="7"/>
    </row>
  </sheetData>
  <pageMargins left="0.70866141732283472" right="0.70866141732283472" top="0.74803149606299213" bottom="0.74803149606299213" header="0.31496062992125984" footer="0.31496062992125984"/>
  <pageSetup paperSize="9" scale="65" orientation="landscape"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2:P50"/>
  <sheetViews>
    <sheetView zoomScale="115" zoomScaleNormal="115" workbookViewId="0">
      <selection activeCell="P30" sqref="P30"/>
    </sheetView>
  </sheetViews>
  <sheetFormatPr defaultRowHeight="15" x14ac:dyDescent="0.25"/>
  <cols>
    <col min="3" max="3" width="11.5703125" customWidth="1"/>
    <col min="4" max="4" width="26.42578125" customWidth="1"/>
    <col min="5" max="6" width="9.5703125" bestFit="1" customWidth="1"/>
    <col min="7" max="10" width="14.42578125" bestFit="1" customWidth="1"/>
    <col min="11" max="11" width="13.140625" bestFit="1" customWidth="1"/>
    <col min="12" max="13" width="8" bestFit="1" customWidth="1"/>
    <col min="14" max="15" width="9.140625" bestFit="1" customWidth="1"/>
  </cols>
  <sheetData>
    <row r="2" spans="1:16" x14ac:dyDescent="0.25">
      <c r="E2" s="7"/>
      <c r="F2" s="7"/>
      <c r="G2" s="7"/>
      <c r="H2" s="7"/>
      <c r="I2" s="7"/>
      <c r="J2" s="7"/>
      <c r="K2" s="7"/>
      <c r="L2" s="7"/>
      <c r="M2" s="7"/>
      <c r="N2" s="7"/>
    </row>
    <row r="3" spans="1:16" x14ac:dyDescent="0.25">
      <c r="C3" s="8" t="s">
        <v>4</v>
      </c>
      <c r="D3" s="26" t="s">
        <v>217</v>
      </c>
      <c r="E3" s="27" t="s">
        <v>109</v>
      </c>
      <c r="F3" s="27" t="s">
        <v>110</v>
      </c>
      <c r="G3" s="27" t="s">
        <v>111</v>
      </c>
      <c r="H3" s="27" t="s">
        <v>108</v>
      </c>
      <c r="I3" s="27" t="s">
        <v>112</v>
      </c>
      <c r="J3" s="27" t="s">
        <v>246</v>
      </c>
      <c r="K3" s="7"/>
      <c r="L3" s="7"/>
      <c r="M3" s="7"/>
      <c r="N3" s="7"/>
    </row>
    <row r="4" spans="1:16" x14ac:dyDescent="0.25">
      <c r="C4" s="8"/>
      <c r="D4" s="26"/>
      <c r="E4" s="7"/>
      <c r="F4" s="7"/>
      <c r="G4" s="7"/>
      <c r="H4" s="7"/>
      <c r="I4" s="7"/>
      <c r="J4" s="7"/>
      <c r="K4" s="7"/>
      <c r="L4" s="7"/>
      <c r="M4" s="7"/>
      <c r="N4" s="7"/>
    </row>
    <row r="5" spans="1:16" x14ac:dyDescent="0.25">
      <c r="C5" s="8"/>
      <c r="D5" s="26"/>
      <c r="E5" s="7"/>
      <c r="F5" s="7"/>
      <c r="G5" s="7"/>
      <c r="H5" s="7"/>
      <c r="I5" s="7"/>
      <c r="J5" s="7"/>
      <c r="K5" s="7"/>
      <c r="L5" s="7"/>
      <c r="M5" s="7"/>
      <c r="N5" s="7"/>
    </row>
    <row r="6" spans="1:16" x14ac:dyDescent="0.25">
      <c r="C6" s="8" t="s">
        <v>5</v>
      </c>
      <c r="D6" s="26" t="s">
        <v>312</v>
      </c>
      <c r="E6" s="27" t="s">
        <v>245</v>
      </c>
      <c r="F6" s="27" t="s">
        <v>247</v>
      </c>
      <c r="G6" s="27" t="s">
        <v>248</v>
      </c>
      <c r="H6" s="27" t="s">
        <v>249</v>
      </c>
      <c r="I6" s="27" t="s">
        <v>250</v>
      </c>
      <c r="J6" s="27" t="s">
        <v>251</v>
      </c>
      <c r="K6" s="27" t="s">
        <v>252</v>
      </c>
      <c r="L6" s="27" t="s">
        <v>253</v>
      </c>
      <c r="M6" s="27" t="s">
        <v>254</v>
      </c>
      <c r="N6" s="27" t="s">
        <v>255</v>
      </c>
      <c r="O6" s="27" t="s">
        <v>256</v>
      </c>
    </row>
    <row r="7" spans="1:16" x14ac:dyDescent="0.25">
      <c r="C7" s="8"/>
      <c r="D7" s="26"/>
      <c r="E7" s="7"/>
      <c r="F7" s="7"/>
      <c r="G7" s="7"/>
      <c r="H7" s="7"/>
      <c r="I7" s="7"/>
      <c r="J7" s="7"/>
      <c r="K7" s="7"/>
      <c r="L7" s="7"/>
      <c r="M7" s="7"/>
      <c r="N7" s="7"/>
    </row>
    <row r="8" spans="1:16" x14ac:dyDescent="0.25">
      <c r="C8" s="8"/>
      <c r="D8" s="26"/>
      <c r="E8" s="7"/>
      <c r="F8" s="7"/>
      <c r="G8" s="7"/>
      <c r="H8" s="7"/>
      <c r="I8" s="7"/>
      <c r="J8" s="7"/>
      <c r="K8" s="7"/>
      <c r="L8" s="7"/>
      <c r="M8" s="7"/>
      <c r="N8" s="7"/>
    </row>
    <row r="9" spans="1:16" x14ac:dyDescent="0.25">
      <c r="C9" s="8" t="s">
        <v>8</v>
      </c>
      <c r="D9" s="26" t="s">
        <v>218</v>
      </c>
      <c r="E9" s="27">
        <v>1</v>
      </c>
      <c r="F9" s="27">
        <v>2</v>
      </c>
      <c r="G9" s="27">
        <v>3</v>
      </c>
      <c r="H9" s="27">
        <v>4</v>
      </c>
      <c r="I9" s="27">
        <v>5</v>
      </c>
      <c r="J9" s="27">
        <v>6</v>
      </c>
      <c r="K9" s="27">
        <v>7</v>
      </c>
      <c r="L9" s="27">
        <v>8</v>
      </c>
      <c r="M9" s="27">
        <v>9</v>
      </c>
      <c r="N9" s="27">
        <v>10</v>
      </c>
      <c r="O9" s="27">
        <v>11</v>
      </c>
      <c r="P9" s="27">
        <v>12</v>
      </c>
    </row>
    <row r="10" spans="1:16" x14ac:dyDescent="0.25">
      <c r="C10" s="8"/>
      <c r="D10" s="26"/>
      <c r="E10" s="7"/>
      <c r="F10" s="7"/>
      <c r="G10" s="7"/>
      <c r="H10" s="7"/>
      <c r="I10" s="7"/>
      <c r="J10" s="7"/>
      <c r="K10" s="7"/>
      <c r="L10" s="7"/>
      <c r="M10" s="7"/>
      <c r="N10" s="7"/>
    </row>
    <row r="11" spans="1:16" x14ac:dyDescent="0.25">
      <c r="C11" s="8"/>
      <c r="D11" s="26"/>
      <c r="E11" s="7"/>
      <c r="F11" s="7"/>
      <c r="G11" s="7"/>
      <c r="H11" s="7"/>
      <c r="I11" s="7"/>
      <c r="J11" s="7"/>
      <c r="K11" s="7"/>
      <c r="L11" s="7"/>
      <c r="M11" s="7"/>
      <c r="N11" s="7"/>
    </row>
    <row r="12" spans="1:16" x14ac:dyDescent="0.25">
      <c r="C12" s="8" t="s">
        <v>75</v>
      </c>
      <c r="D12" s="26" t="s">
        <v>76</v>
      </c>
      <c r="E12" s="27" t="s">
        <v>145</v>
      </c>
      <c r="F12" s="27" t="s">
        <v>171</v>
      </c>
      <c r="G12" s="27" t="s">
        <v>172</v>
      </c>
      <c r="H12" s="7"/>
      <c r="I12" s="7"/>
      <c r="J12" s="7"/>
      <c r="K12" s="7"/>
      <c r="L12" s="7"/>
      <c r="M12" s="7"/>
      <c r="N12" s="7"/>
    </row>
    <row r="13" spans="1:16" x14ac:dyDescent="0.25">
      <c r="C13" s="8"/>
      <c r="D13" s="26"/>
      <c r="E13" s="7"/>
      <c r="F13" s="7"/>
      <c r="G13" s="7"/>
      <c r="H13" s="7"/>
      <c r="I13" s="7"/>
      <c r="J13" s="7"/>
      <c r="K13" s="7"/>
      <c r="L13" s="7"/>
      <c r="M13" s="7"/>
      <c r="N13" s="7"/>
    </row>
    <row r="14" spans="1:16" x14ac:dyDescent="0.25">
      <c r="C14" s="8"/>
      <c r="D14" s="26"/>
      <c r="E14" s="7"/>
      <c r="F14" s="7"/>
      <c r="G14" s="7"/>
      <c r="H14" s="7"/>
      <c r="I14" s="7"/>
      <c r="J14" s="7"/>
      <c r="K14" s="7"/>
      <c r="L14" s="7"/>
      <c r="M14" s="7"/>
      <c r="N14" s="7"/>
    </row>
    <row r="15" spans="1:16" ht="30" x14ac:dyDescent="0.25">
      <c r="C15" s="8" t="s">
        <v>77</v>
      </c>
      <c r="D15" s="26" t="s">
        <v>78</v>
      </c>
      <c r="E15" s="54" t="s">
        <v>226</v>
      </c>
      <c r="F15" s="54" t="s">
        <v>221</v>
      </c>
      <c r="G15" s="54" t="s">
        <v>222</v>
      </c>
      <c r="H15" s="54" t="s">
        <v>223</v>
      </c>
      <c r="I15" s="54" t="s">
        <v>224</v>
      </c>
      <c r="J15" s="54" t="s">
        <v>225</v>
      </c>
      <c r="K15" s="7"/>
      <c r="L15" s="7"/>
      <c r="M15" s="7"/>
      <c r="N15" s="7"/>
    </row>
    <row r="16" spans="1:16" x14ac:dyDescent="0.25">
      <c r="C16" s="8"/>
      <c r="D16" s="26"/>
      <c r="E16" s="7"/>
      <c r="F16" s="7"/>
      <c r="G16" s="7"/>
      <c r="H16" s="7"/>
      <c r="I16" s="7"/>
      <c r="J16" s="7"/>
      <c r="K16" s="7"/>
      <c r="L16" s="7"/>
      <c r="M16" s="7"/>
      <c r="N16" s="7"/>
    </row>
    <row r="17" spans="3:16" x14ac:dyDescent="0.25">
      <c r="C17" s="8"/>
      <c r="D17" s="26"/>
      <c r="E17" s="7"/>
      <c r="F17" s="7"/>
      <c r="G17" s="7"/>
      <c r="H17" s="7"/>
      <c r="I17" s="7"/>
      <c r="J17" s="7"/>
      <c r="K17" s="7"/>
      <c r="L17" s="7"/>
      <c r="M17" s="7"/>
      <c r="N17" s="7"/>
    </row>
    <row r="18" spans="3:16" x14ac:dyDescent="0.25">
      <c r="C18" s="8" t="s">
        <v>214</v>
      </c>
      <c r="D18" s="26" t="s">
        <v>313</v>
      </c>
      <c r="E18" s="103" t="s">
        <v>128</v>
      </c>
      <c r="F18" s="103" t="s">
        <v>129</v>
      </c>
      <c r="G18" s="103" t="s">
        <v>130</v>
      </c>
      <c r="H18" s="103" t="s">
        <v>131</v>
      </c>
      <c r="I18" s="103" t="s">
        <v>132</v>
      </c>
      <c r="J18" s="103" t="s">
        <v>133</v>
      </c>
      <c r="K18" s="103" t="s">
        <v>134</v>
      </c>
      <c r="L18" s="103" t="s">
        <v>135</v>
      </c>
      <c r="M18" s="103" t="s">
        <v>136</v>
      </c>
      <c r="N18" s="103" t="s">
        <v>137</v>
      </c>
    </row>
    <row r="19" spans="3:16" x14ac:dyDescent="0.25">
      <c r="C19" s="8"/>
      <c r="D19" s="26"/>
      <c r="E19" s="7"/>
      <c r="F19" s="7"/>
      <c r="G19" s="7"/>
      <c r="H19" s="7"/>
      <c r="I19" s="7"/>
      <c r="J19" s="7"/>
      <c r="K19" s="7"/>
      <c r="L19" s="7"/>
      <c r="M19" s="7"/>
      <c r="N19" s="7"/>
    </row>
    <row r="20" spans="3:16" x14ac:dyDescent="0.25">
      <c r="C20" s="8"/>
      <c r="D20" s="26"/>
      <c r="E20" s="7"/>
      <c r="F20" s="7"/>
      <c r="G20" s="7"/>
      <c r="H20" s="7"/>
      <c r="I20" s="7"/>
      <c r="J20" s="7"/>
      <c r="K20" s="7"/>
      <c r="L20" s="7"/>
      <c r="M20" s="7"/>
      <c r="N20" s="7"/>
    </row>
    <row r="21" spans="3:16" x14ac:dyDescent="0.25">
      <c r="C21" s="8" t="s">
        <v>215</v>
      </c>
      <c r="D21" s="26" t="s">
        <v>219</v>
      </c>
      <c r="E21" s="7" t="s">
        <v>154</v>
      </c>
      <c r="F21" s="7" t="s">
        <v>155</v>
      </c>
      <c r="G21" s="7" t="s">
        <v>156</v>
      </c>
      <c r="H21" s="7" t="s">
        <v>157</v>
      </c>
      <c r="I21" s="7" t="s">
        <v>158</v>
      </c>
      <c r="J21" s="7" t="s">
        <v>159</v>
      </c>
      <c r="K21" s="7" t="s">
        <v>160</v>
      </c>
      <c r="L21" s="7" t="s">
        <v>165</v>
      </c>
      <c r="M21" s="7"/>
      <c r="N21" s="7"/>
    </row>
    <row r="22" spans="3:16" x14ac:dyDescent="0.25">
      <c r="C22" s="8"/>
      <c r="D22" s="26"/>
      <c r="E22" s="7"/>
      <c r="F22" s="7"/>
      <c r="G22" s="7"/>
      <c r="H22" s="7"/>
      <c r="I22" s="7"/>
      <c r="J22" s="7"/>
      <c r="K22" s="7"/>
      <c r="L22" s="7"/>
      <c r="M22" s="7"/>
      <c r="N22" s="7"/>
    </row>
    <row r="23" spans="3:16" x14ac:dyDescent="0.25">
      <c r="C23" s="8"/>
      <c r="D23" s="26"/>
    </row>
    <row r="24" spans="3:16" x14ac:dyDescent="0.25">
      <c r="C24" s="8" t="s">
        <v>216</v>
      </c>
      <c r="D24" s="26" t="s">
        <v>220</v>
      </c>
    </row>
    <row r="25" spans="3:16" ht="15" customHeight="1" x14ac:dyDescent="0.25">
      <c r="C25" s="7"/>
      <c r="F25" s="54" t="s">
        <v>226</v>
      </c>
      <c r="G25" s="54" t="s">
        <v>221</v>
      </c>
      <c r="H25" s="54" t="s">
        <v>222</v>
      </c>
      <c r="I25" s="54" t="s">
        <v>223</v>
      </c>
      <c r="J25" s="54" t="s">
        <v>224</v>
      </c>
      <c r="K25" s="54" t="s">
        <v>225</v>
      </c>
    </row>
    <row r="26" spans="3:16" x14ac:dyDescent="0.25">
      <c r="E26" s="27" t="s">
        <v>145</v>
      </c>
      <c r="F26" s="7">
        <v>1</v>
      </c>
      <c r="G26" s="7">
        <v>1</v>
      </c>
      <c r="H26" s="7"/>
      <c r="I26" s="7"/>
      <c r="J26" s="7"/>
      <c r="K26" s="7"/>
    </row>
    <row r="27" spans="3:16" x14ac:dyDescent="0.25">
      <c r="E27" s="27" t="s">
        <v>171</v>
      </c>
      <c r="F27" s="7"/>
      <c r="G27" s="7"/>
      <c r="H27" s="7">
        <v>1</v>
      </c>
      <c r="I27" s="7">
        <v>1</v>
      </c>
      <c r="J27" s="7"/>
      <c r="K27" s="7"/>
    </row>
    <row r="28" spans="3:16" x14ac:dyDescent="0.25">
      <c r="E28" s="27" t="s">
        <v>172</v>
      </c>
      <c r="F28" s="7"/>
      <c r="G28" s="7"/>
      <c r="H28" s="7"/>
      <c r="I28" s="7"/>
      <c r="J28" s="7">
        <v>1</v>
      </c>
      <c r="K28" s="7">
        <v>1</v>
      </c>
    </row>
    <row r="31" spans="3:16" x14ac:dyDescent="0.25">
      <c r="C31" s="26" t="s">
        <v>257</v>
      </c>
      <c r="D31" s="26" t="s">
        <v>258</v>
      </c>
      <c r="F31" s="7" t="s">
        <v>154</v>
      </c>
      <c r="G31" s="7" t="s">
        <v>155</v>
      </c>
      <c r="H31" s="7" t="s">
        <v>156</v>
      </c>
      <c r="I31" s="7" t="s">
        <v>157</v>
      </c>
      <c r="J31" s="7" t="s">
        <v>158</v>
      </c>
      <c r="K31" s="7" t="s">
        <v>159</v>
      </c>
      <c r="L31" s="7" t="s">
        <v>160</v>
      </c>
      <c r="M31" s="7" t="s">
        <v>165</v>
      </c>
      <c r="N31" s="7"/>
    </row>
    <row r="32" spans="3:16" x14ac:dyDescent="0.25">
      <c r="E32" s="27" t="s">
        <v>109</v>
      </c>
      <c r="F32" s="7">
        <v>1</v>
      </c>
      <c r="G32" s="7">
        <v>1</v>
      </c>
      <c r="H32" s="7"/>
      <c r="I32" s="7"/>
      <c r="J32" s="7"/>
      <c r="K32" s="7"/>
      <c r="L32" s="7"/>
      <c r="M32" s="7"/>
      <c r="N32" s="7"/>
      <c r="O32" s="7"/>
      <c r="P32" s="7"/>
    </row>
    <row r="33" spans="3:16" x14ac:dyDescent="0.25">
      <c r="E33" s="27" t="s">
        <v>110</v>
      </c>
      <c r="F33" s="7">
        <v>1</v>
      </c>
      <c r="G33" s="7">
        <v>1</v>
      </c>
      <c r="H33" s="7"/>
      <c r="I33" s="7"/>
      <c r="J33" s="7"/>
      <c r="K33" s="7"/>
      <c r="L33" s="7"/>
      <c r="M33" s="7"/>
      <c r="N33" s="7"/>
      <c r="O33" s="7"/>
      <c r="P33" s="7"/>
    </row>
    <row r="34" spans="3:16" x14ac:dyDescent="0.25">
      <c r="E34" s="27" t="s">
        <v>111</v>
      </c>
      <c r="F34" s="7">
        <v>1</v>
      </c>
      <c r="G34" s="7">
        <v>1</v>
      </c>
      <c r="H34" s="7"/>
      <c r="I34" s="7"/>
      <c r="J34" s="7"/>
      <c r="K34" s="7"/>
      <c r="L34" s="7"/>
      <c r="M34" s="7"/>
      <c r="N34" s="7"/>
      <c r="O34" s="7"/>
      <c r="P34" s="7"/>
    </row>
    <row r="35" spans="3:16" x14ac:dyDescent="0.25">
      <c r="E35" s="27" t="s">
        <v>108</v>
      </c>
      <c r="F35" s="7"/>
      <c r="G35" s="7"/>
      <c r="H35" s="7">
        <v>1</v>
      </c>
      <c r="I35" s="7"/>
      <c r="J35" s="7"/>
      <c r="K35" s="7"/>
      <c r="L35" s="7"/>
      <c r="M35" s="7"/>
      <c r="N35" s="7"/>
      <c r="O35" s="7"/>
      <c r="P35" s="7"/>
    </row>
    <row r="36" spans="3:16" x14ac:dyDescent="0.25">
      <c r="E36" s="27" t="s">
        <v>112</v>
      </c>
      <c r="F36" s="7"/>
      <c r="G36" s="7"/>
      <c r="H36" s="7">
        <v>1</v>
      </c>
      <c r="I36" s="7"/>
      <c r="J36" s="7"/>
      <c r="K36" s="7"/>
      <c r="L36" s="7"/>
      <c r="M36" s="7"/>
      <c r="N36" s="7"/>
      <c r="O36" s="7"/>
      <c r="P36" s="7"/>
    </row>
    <row r="37" spans="3:16" x14ac:dyDescent="0.25">
      <c r="E37" s="27" t="s">
        <v>246</v>
      </c>
      <c r="F37" s="7"/>
      <c r="G37" s="7"/>
      <c r="H37" s="7">
        <v>1</v>
      </c>
      <c r="I37" s="7"/>
      <c r="J37" s="7"/>
      <c r="K37" s="7"/>
      <c r="L37" s="7"/>
      <c r="M37" s="7"/>
      <c r="N37" s="7"/>
      <c r="O37" s="7"/>
      <c r="P37" s="7"/>
    </row>
    <row r="38" spans="3:16" x14ac:dyDescent="0.25">
      <c r="F38" s="7"/>
      <c r="G38" s="7"/>
      <c r="H38" s="7"/>
      <c r="I38" s="7"/>
      <c r="J38" s="7"/>
      <c r="K38" s="7"/>
      <c r="L38" s="7"/>
      <c r="M38" s="7"/>
      <c r="N38" s="7"/>
      <c r="O38" s="7"/>
      <c r="P38" s="7"/>
    </row>
    <row r="39" spans="3:16" x14ac:dyDescent="0.25">
      <c r="F39" s="7"/>
      <c r="G39" s="7"/>
      <c r="H39" s="7"/>
      <c r="I39" s="7"/>
      <c r="J39" s="7"/>
      <c r="K39" s="7"/>
      <c r="L39" s="7"/>
      <c r="M39" s="7"/>
      <c r="N39" s="7"/>
      <c r="O39" s="7"/>
      <c r="P39" s="7"/>
    </row>
    <row r="40" spans="3:16" x14ac:dyDescent="0.25">
      <c r="C40" s="26" t="s">
        <v>259</v>
      </c>
      <c r="D40" s="26" t="s">
        <v>260</v>
      </c>
      <c r="F40" s="27" t="s">
        <v>245</v>
      </c>
      <c r="G40" s="27" t="s">
        <v>247</v>
      </c>
      <c r="H40" s="27" t="s">
        <v>248</v>
      </c>
      <c r="I40" s="27" t="s">
        <v>249</v>
      </c>
      <c r="J40" s="27" t="s">
        <v>250</v>
      </c>
      <c r="K40" s="27" t="s">
        <v>251</v>
      </c>
      <c r="L40" s="27" t="s">
        <v>252</v>
      </c>
      <c r="M40" s="27" t="s">
        <v>253</v>
      </c>
      <c r="N40" s="27" t="s">
        <v>254</v>
      </c>
      <c r="O40" s="27" t="s">
        <v>255</v>
      </c>
      <c r="P40" s="27" t="s">
        <v>256</v>
      </c>
    </row>
    <row r="41" spans="3:16" x14ac:dyDescent="0.25">
      <c r="E41" s="66" t="s">
        <v>128</v>
      </c>
      <c r="F41" s="7">
        <v>1</v>
      </c>
      <c r="G41" s="7">
        <v>1</v>
      </c>
      <c r="H41" s="7">
        <v>1</v>
      </c>
      <c r="I41" s="7"/>
      <c r="J41" s="7"/>
      <c r="K41" s="7"/>
      <c r="L41" s="7"/>
      <c r="M41" s="7">
        <v>1</v>
      </c>
      <c r="N41" s="7">
        <v>1</v>
      </c>
      <c r="O41" s="7"/>
      <c r="P41" s="7"/>
    </row>
    <row r="42" spans="3:16" x14ac:dyDescent="0.25">
      <c r="E42" s="66" t="s">
        <v>129</v>
      </c>
      <c r="F42" s="7">
        <v>1</v>
      </c>
      <c r="G42" s="7">
        <v>1</v>
      </c>
      <c r="H42" s="7">
        <v>1</v>
      </c>
      <c r="I42" s="7"/>
      <c r="J42" s="7"/>
      <c r="K42" s="7"/>
      <c r="L42" s="7"/>
      <c r="M42" s="7">
        <v>1</v>
      </c>
      <c r="N42" s="7">
        <v>1</v>
      </c>
      <c r="O42" s="7"/>
      <c r="P42" s="7"/>
    </row>
    <row r="43" spans="3:16" x14ac:dyDescent="0.25">
      <c r="E43" s="66" t="s">
        <v>130</v>
      </c>
      <c r="F43" s="7">
        <v>1</v>
      </c>
      <c r="G43" s="7">
        <v>1</v>
      </c>
      <c r="H43" s="7">
        <v>1</v>
      </c>
      <c r="I43" s="7"/>
      <c r="J43" s="7"/>
      <c r="K43" s="7"/>
      <c r="L43" s="7"/>
      <c r="M43" s="7">
        <v>1</v>
      </c>
      <c r="N43" s="7">
        <v>1</v>
      </c>
      <c r="O43" s="7"/>
      <c r="P43" s="7"/>
    </row>
    <row r="44" spans="3:16" x14ac:dyDescent="0.25">
      <c r="E44" s="66" t="s">
        <v>131</v>
      </c>
      <c r="F44" s="7"/>
      <c r="G44" s="7"/>
      <c r="H44" s="7"/>
      <c r="I44" s="7"/>
      <c r="J44" s="7"/>
      <c r="K44" s="7"/>
      <c r="L44" s="7"/>
      <c r="M44" s="7"/>
      <c r="N44" s="7"/>
      <c r="O44" s="7">
        <v>1</v>
      </c>
      <c r="P44" s="7"/>
    </row>
    <row r="45" spans="3:16" x14ac:dyDescent="0.25">
      <c r="E45" s="66" t="s">
        <v>132</v>
      </c>
      <c r="F45" s="7"/>
      <c r="G45" s="7"/>
      <c r="H45" s="7"/>
      <c r="I45" s="7"/>
      <c r="J45" s="7"/>
      <c r="K45" s="7"/>
      <c r="L45" s="7"/>
      <c r="M45" s="7"/>
      <c r="N45" s="7"/>
      <c r="O45" s="7">
        <v>1</v>
      </c>
      <c r="P45" s="7"/>
    </row>
    <row r="46" spans="3:16" x14ac:dyDescent="0.25">
      <c r="E46" s="66" t="s">
        <v>133</v>
      </c>
      <c r="F46" s="7"/>
      <c r="G46" s="7"/>
      <c r="H46" s="7"/>
      <c r="I46" s="7"/>
      <c r="J46" s="7"/>
      <c r="K46" s="7"/>
      <c r="L46" s="7"/>
      <c r="M46" s="7"/>
      <c r="N46" s="7"/>
      <c r="O46" s="7"/>
      <c r="P46" s="7">
        <v>1</v>
      </c>
    </row>
    <row r="47" spans="3:16" x14ac:dyDescent="0.25">
      <c r="E47" s="66" t="s">
        <v>134</v>
      </c>
      <c r="F47" s="7"/>
      <c r="G47" s="7"/>
      <c r="H47" s="7"/>
      <c r="I47" s="7"/>
      <c r="J47" s="7"/>
      <c r="K47" s="7"/>
      <c r="L47" s="7"/>
      <c r="M47" s="7"/>
      <c r="N47" s="7"/>
      <c r="O47" s="7"/>
      <c r="P47" s="7">
        <v>1</v>
      </c>
    </row>
    <row r="48" spans="3:16" x14ac:dyDescent="0.25">
      <c r="E48" s="66" t="s">
        <v>135</v>
      </c>
      <c r="F48" s="7"/>
      <c r="G48" s="7"/>
      <c r="H48" s="7"/>
      <c r="I48" s="7">
        <v>1</v>
      </c>
      <c r="J48" s="7">
        <v>1</v>
      </c>
      <c r="K48" s="7">
        <v>1</v>
      </c>
      <c r="L48" s="7">
        <v>1</v>
      </c>
      <c r="M48" s="7"/>
      <c r="N48" s="7"/>
      <c r="O48" s="7"/>
      <c r="P48" s="7"/>
    </row>
    <row r="49" spans="5:16" x14ac:dyDescent="0.25">
      <c r="E49" s="66" t="s">
        <v>136</v>
      </c>
      <c r="F49" s="7"/>
      <c r="G49" s="7"/>
      <c r="H49" s="7"/>
      <c r="I49" s="7">
        <v>1</v>
      </c>
      <c r="J49" s="7">
        <v>1</v>
      </c>
      <c r="K49" s="7">
        <v>1</v>
      </c>
      <c r="L49" s="7">
        <v>1</v>
      </c>
      <c r="M49" s="7"/>
      <c r="N49" s="7"/>
      <c r="O49" s="7"/>
      <c r="P49" s="7"/>
    </row>
    <row r="50" spans="5:16" x14ac:dyDescent="0.25">
      <c r="E50" s="66" t="s">
        <v>137</v>
      </c>
      <c r="F50" s="7"/>
      <c r="G50" s="7"/>
      <c r="H50" s="7"/>
      <c r="I50" s="7">
        <v>1</v>
      </c>
      <c r="J50" s="7">
        <v>1</v>
      </c>
      <c r="K50" s="7">
        <v>1</v>
      </c>
      <c r="L50" s="7">
        <v>1</v>
      </c>
      <c r="M50" s="7"/>
      <c r="N50" s="7"/>
      <c r="O50" s="7"/>
      <c r="P50" s="7"/>
    </row>
  </sheetData>
  <pageMargins left="0.70866141732283472" right="0.70866141732283472" top="0.74803149606299213" bottom="0.74803149606299213" header="0.31496062992125984" footer="0.31496062992125984"/>
  <pageSetup paperSize="9" scale="65"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T90"/>
  <sheetViews>
    <sheetView topLeftCell="A70" zoomScaleNormal="100" workbookViewId="0">
      <selection activeCell="E88" sqref="E88"/>
    </sheetView>
  </sheetViews>
  <sheetFormatPr defaultRowHeight="15" x14ac:dyDescent="0.25"/>
  <cols>
    <col min="2" max="2" width="37.28515625" customWidth="1"/>
    <col min="3" max="3" width="15" style="7" customWidth="1"/>
    <col min="4" max="4" width="15.140625" bestFit="1" customWidth="1"/>
    <col min="5" max="5" width="12.28515625" customWidth="1"/>
    <col min="6" max="6" width="12.140625" customWidth="1"/>
    <col min="7" max="7" width="14.140625" customWidth="1"/>
    <col min="8" max="8" width="12.5703125" customWidth="1"/>
    <col min="9" max="9" width="9.28515625" customWidth="1"/>
    <col min="10" max="10" width="22.28515625" bestFit="1" customWidth="1"/>
    <col min="11" max="11" width="17.85546875" bestFit="1" customWidth="1"/>
    <col min="12" max="12" width="31.140625" customWidth="1"/>
    <col min="13" max="13" width="11.85546875" bestFit="1" customWidth="1"/>
    <col min="14" max="15" width="9.85546875" bestFit="1" customWidth="1"/>
    <col min="16" max="16" width="12.5703125" hidden="1" customWidth="1"/>
    <col min="17" max="17" width="0" hidden="1" customWidth="1"/>
  </cols>
  <sheetData>
    <row r="1" spans="1:20" ht="23.25" x14ac:dyDescent="0.35">
      <c r="B1" s="30" t="s">
        <v>161</v>
      </c>
    </row>
    <row r="3" spans="1:20" x14ac:dyDescent="0.25">
      <c r="P3" t="s">
        <v>261</v>
      </c>
      <c r="Q3">
        <v>0.8</v>
      </c>
    </row>
    <row r="4" spans="1:20" x14ac:dyDescent="0.25">
      <c r="B4" s="8" t="s">
        <v>242</v>
      </c>
      <c r="C4" s="66"/>
      <c r="D4" s="64" t="s">
        <v>154</v>
      </c>
      <c r="E4" s="64" t="s">
        <v>155</v>
      </c>
      <c r="F4" s="64" t="s">
        <v>156</v>
      </c>
      <c r="G4" s="64" t="s">
        <v>157</v>
      </c>
      <c r="H4" s="64" t="s">
        <v>158</v>
      </c>
      <c r="I4" s="64" t="s">
        <v>159</v>
      </c>
      <c r="J4" s="64" t="s">
        <v>160</v>
      </c>
      <c r="K4" s="64" t="s">
        <v>165</v>
      </c>
    </row>
    <row r="5" spans="1:20" x14ac:dyDescent="0.25">
      <c r="A5" s="7"/>
      <c r="B5" s="31" t="s">
        <v>208</v>
      </c>
      <c r="C5" s="64" t="s">
        <v>109</v>
      </c>
      <c r="D5" s="154">
        <v>2.64</v>
      </c>
      <c r="E5" s="154">
        <v>7.1999999999999995E-2</v>
      </c>
      <c r="F5" s="155"/>
      <c r="G5" s="64"/>
      <c r="H5" s="64"/>
      <c r="I5" s="64"/>
      <c r="J5" s="66"/>
      <c r="K5" s="66"/>
      <c r="L5" s="7"/>
      <c r="M5" s="7"/>
      <c r="N5" s="7"/>
      <c r="O5" s="7"/>
      <c r="P5" s="7"/>
      <c r="Q5" s="7"/>
      <c r="R5" s="7"/>
      <c r="S5" s="7"/>
      <c r="T5" s="7"/>
    </row>
    <row r="6" spans="1:20" s="7" customFormat="1" x14ac:dyDescent="0.25">
      <c r="B6" s="21" t="s">
        <v>209</v>
      </c>
      <c r="C6" s="64" t="s">
        <v>110</v>
      </c>
      <c r="D6" s="135">
        <v>5.52</v>
      </c>
      <c r="E6" s="135">
        <v>0.48</v>
      </c>
      <c r="F6" s="135"/>
      <c r="G6" s="66"/>
      <c r="H6" s="66"/>
      <c r="I6" s="64"/>
      <c r="J6" s="66"/>
      <c r="K6" s="66"/>
      <c r="N6" s="65"/>
      <c r="O6" s="24"/>
      <c r="P6" s="24"/>
      <c r="Q6" s="24"/>
      <c r="R6" s="24"/>
      <c r="S6" s="24"/>
    </row>
    <row r="7" spans="1:20" x14ac:dyDescent="0.25">
      <c r="A7" s="7"/>
      <c r="C7" s="64" t="s">
        <v>111</v>
      </c>
      <c r="D7" s="135">
        <v>5.52</v>
      </c>
      <c r="E7" s="135">
        <v>0.36</v>
      </c>
      <c r="F7" s="156"/>
      <c r="G7" s="66"/>
      <c r="H7" s="69"/>
      <c r="I7" s="64"/>
      <c r="J7" s="66"/>
      <c r="K7" s="66"/>
      <c r="L7" s="7"/>
      <c r="M7" s="7"/>
      <c r="N7" s="7"/>
      <c r="T7" s="7"/>
    </row>
    <row r="8" spans="1:20" s="62" customFormat="1" x14ac:dyDescent="0.25">
      <c r="A8" s="7"/>
      <c r="C8" s="64" t="s">
        <v>108</v>
      </c>
      <c r="D8" s="135"/>
      <c r="E8" s="156"/>
      <c r="F8" s="135">
        <v>2.3199999999999998</v>
      </c>
      <c r="G8" s="66"/>
      <c r="H8" s="69"/>
      <c r="I8" s="64"/>
      <c r="J8" s="66"/>
      <c r="K8" s="66"/>
      <c r="L8" s="7"/>
      <c r="M8" s="7"/>
      <c r="N8" s="7"/>
      <c r="T8" s="7"/>
    </row>
    <row r="9" spans="1:20" s="62" customFormat="1" x14ac:dyDescent="0.25">
      <c r="A9" s="7"/>
      <c r="C9" s="64" t="s">
        <v>112</v>
      </c>
      <c r="D9" s="135"/>
      <c r="E9" s="156"/>
      <c r="F9" s="135">
        <v>7.0000000000000007E-2</v>
      </c>
      <c r="G9" s="69"/>
      <c r="H9" s="69"/>
      <c r="I9" s="64"/>
      <c r="J9" s="66"/>
      <c r="K9" s="66"/>
      <c r="L9" s="7"/>
      <c r="M9" s="7"/>
      <c r="N9" s="7"/>
      <c r="T9" s="7"/>
    </row>
    <row r="10" spans="1:20" s="62" customFormat="1" x14ac:dyDescent="0.25">
      <c r="A10" s="7"/>
      <c r="C10" s="64" t="s">
        <v>246</v>
      </c>
      <c r="D10" s="135"/>
      <c r="E10" s="156"/>
      <c r="F10" s="135">
        <v>7.0000000000000007E-2</v>
      </c>
      <c r="G10" s="69"/>
      <c r="H10" s="69"/>
      <c r="I10" s="64"/>
      <c r="J10" s="66"/>
      <c r="K10" s="66"/>
      <c r="L10" s="7"/>
      <c r="M10" s="7"/>
      <c r="N10" s="7"/>
      <c r="T10" s="7"/>
    </row>
    <row r="11" spans="1:20" s="62" customFormat="1" x14ac:dyDescent="0.25">
      <c r="A11" s="7"/>
      <c r="C11" s="7"/>
      <c r="J11" s="7"/>
      <c r="K11" s="7"/>
      <c r="L11" s="7"/>
      <c r="M11" s="7"/>
      <c r="N11" s="7"/>
      <c r="T11" s="7"/>
    </row>
    <row r="12" spans="1:20" x14ac:dyDescent="0.25">
      <c r="A12" s="7"/>
      <c r="J12" s="7"/>
      <c r="K12" s="7"/>
      <c r="L12" s="8"/>
      <c r="M12" s="7"/>
      <c r="N12" s="52"/>
      <c r="O12" s="52"/>
      <c r="P12" s="52"/>
      <c r="Q12" s="52"/>
      <c r="R12" s="52"/>
      <c r="S12" s="52"/>
      <c r="T12" s="7"/>
    </row>
    <row r="13" spans="1:20" x14ac:dyDescent="0.25">
      <c r="A13" s="7"/>
      <c r="B13" s="8" t="s">
        <v>227</v>
      </c>
      <c r="C13" s="66"/>
      <c r="D13" s="64" t="s">
        <v>154</v>
      </c>
      <c r="E13" s="64" t="s">
        <v>155</v>
      </c>
      <c r="F13" s="64" t="s">
        <v>156</v>
      </c>
      <c r="G13" s="64" t="s">
        <v>157</v>
      </c>
      <c r="H13" s="64" t="s">
        <v>158</v>
      </c>
      <c r="I13" s="64" t="s">
        <v>159</v>
      </c>
      <c r="J13" s="64" t="s">
        <v>160</v>
      </c>
      <c r="K13" s="64" t="s">
        <v>165</v>
      </c>
      <c r="L13" s="8"/>
      <c r="M13" s="7"/>
      <c r="N13" s="52"/>
      <c r="O13" s="52"/>
      <c r="P13" s="8"/>
      <c r="Q13" s="7"/>
      <c r="R13" s="52"/>
      <c r="S13" s="52"/>
      <c r="T13" s="7"/>
    </row>
    <row r="14" spans="1:20" x14ac:dyDescent="0.25">
      <c r="B14" s="31" t="s">
        <v>207</v>
      </c>
      <c r="C14" s="64" t="s">
        <v>109</v>
      </c>
      <c r="D14" s="27">
        <f>$Q$3*D5</f>
        <v>2.1120000000000001</v>
      </c>
      <c r="E14" s="27">
        <f>$Q$3*E5</f>
        <v>5.7599999999999998E-2</v>
      </c>
      <c r="F14" s="64"/>
      <c r="G14" s="64"/>
      <c r="H14" s="64"/>
      <c r="I14" s="64"/>
      <c r="J14" s="66"/>
      <c r="K14" s="66"/>
      <c r="L14" s="7"/>
      <c r="P14" s="7"/>
      <c r="Q14" s="62"/>
      <c r="R14" s="62"/>
    </row>
    <row r="15" spans="1:20" x14ac:dyDescent="0.25">
      <c r="B15" s="8" t="s">
        <v>209</v>
      </c>
      <c r="C15" s="64" t="s">
        <v>110</v>
      </c>
      <c r="D15" s="27">
        <f t="shared" ref="D15:E16" si="0">$Q$3*D6</f>
        <v>4.4159999999999995</v>
      </c>
      <c r="E15" s="27">
        <f t="shared" si="0"/>
        <v>0.38400000000000001</v>
      </c>
      <c r="F15" s="66"/>
      <c r="G15" s="66"/>
      <c r="H15" s="66"/>
      <c r="I15" s="64"/>
      <c r="J15" s="66"/>
      <c r="K15" s="66"/>
      <c r="L15" s="7"/>
      <c r="M15" s="7"/>
      <c r="N15" s="7"/>
      <c r="P15" s="67"/>
      <c r="Q15" s="67"/>
      <c r="R15" s="67"/>
    </row>
    <row r="16" spans="1:20" s="62" customFormat="1" x14ac:dyDescent="0.25">
      <c r="B16" s="8"/>
      <c r="C16" s="64" t="s">
        <v>111</v>
      </c>
      <c r="D16" s="27">
        <f t="shared" si="0"/>
        <v>4.4159999999999995</v>
      </c>
      <c r="E16" s="27">
        <f t="shared" si="0"/>
        <v>0.28799999999999998</v>
      </c>
      <c r="F16" s="69"/>
      <c r="G16" s="66"/>
      <c r="H16" s="69"/>
      <c r="I16" s="64"/>
      <c r="J16" s="66"/>
      <c r="K16" s="66"/>
      <c r="L16" s="7"/>
      <c r="M16" s="7"/>
      <c r="N16" s="7"/>
      <c r="P16" s="67"/>
      <c r="Q16" s="67"/>
      <c r="R16" s="67"/>
    </row>
    <row r="17" spans="2:18" s="62" customFormat="1" x14ac:dyDescent="0.25">
      <c r="B17" s="8"/>
      <c r="C17" s="64" t="s">
        <v>108</v>
      </c>
      <c r="D17" s="66"/>
      <c r="E17" s="69"/>
      <c r="F17" s="66">
        <f>F8*$Q$3</f>
        <v>1.8559999999999999</v>
      </c>
      <c r="G17" s="66"/>
      <c r="H17" s="69"/>
      <c r="I17" s="64"/>
      <c r="J17" s="66"/>
      <c r="K17" s="66"/>
      <c r="L17" s="7"/>
      <c r="M17" s="7"/>
      <c r="N17" s="7"/>
      <c r="P17" s="67"/>
      <c r="Q17" s="67"/>
      <c r="R17" s="67"/>
    </row>
    <row r="18" spans="2:18" s="62" customFormat="1" x14ac:dyDescent="0.25">
      <c r="B18" s="8"/>
      <c r="C18" s="64" t="s">
        <v>112</v>
      </c>
      <c r="D18" s="66"/>
      <c r="E18" s="69"/>
      <c r="F18" s="66">
        <f t="shared" ref="F18:F19" si="1">F9*$Q$3</f>
        <v>5.6000000000000008E-2</v>
      </c>
      <c r="G18" s="69"/>
      <c r="H18" s="69"/>
      <c r="I18" s="64"/>
      <c r="J18" s="66"/>
      <c r="K18" s="66"/>
      <c r="L18" s="7"/>
      <c r="M18" s="7"/>
      <c r="N18" s="7"/>
      <c r="P18" s="67"/>
      <c r="Q18" s="67"/>
      <c r="R18" s="67"/>
    </row>
    <row r="19" spans="2:18" s="62" customFormat="1" x14ac:dyDescent="0.25">
      <c r="B19" s="8"/>
      <c r="C19" s="64" t="s">
        <v>246</v>
      </c>
      <c r="D19" s="66"/>
      <c r="E19" s="69"/>
      <c r="F19" s="66">
        <f t="shared" si="1"/>
        <v>5.6000000000000008E-2</v>
      </c>
      <c r="G19" s="69"/>
      <c r="H19" s="69"/>
      <c r="I19" s="64"/>
      <c r="J19" s="66"/>
      <c r="K19" s="66"/>
      <c r="L19" s="7"/>
      <c r="M19" s="7"/>
      <c r="N19" s="7"/>
      <c r="P19" s="67"/>
      <c r="Q19" s="67"/>
      <c r="R19" s="67"/>
    </row>
    <row r="20" spans="2:18" s="62" customFormat="1" x14ac:dyDescent="0.25">
      <c r="B20" s="8"/>
      <c r="C20" s="66"/>
      <c r="D20" s="66"/>
      <c r="E20" s="66"/>
      <c r="F20" s="66"/>
      <c r="G20" s="66"/>
      <c r="H20" s="66"/>
      <c r="L20" s="7"/>
      <c r="M20" s="7"/>
      <c r="N20" s="7"/>
      <c r="P20" s="67"/>
      <c r="Q20" s="67"/>
      <c r="R20" s="67"/>
    </row>
    <row r="21" spans="2:18" x14ac:dyDescent="0.25">
      <c r="B21" s="8"/>
      <c r="L21" s="7"/>
    </row>
    <row r="22" spans="2:18" x14ac:dyDescent="0.25">
      <c r="B22" s="8" t="s">
        <v>104</v>
      </c>
      <c r="C22" s="55" t="s">
        <v>109</v>
      </c>
      <c r="D22" s="55" t="s">
        <v>110</v>
      </c>
      <c r="E22" s="55" t="s">
        <v>111</v>
      </c>
      <c r="F22" s="55" t="s">
        <v>108</v>
      </c>
      <c r="G22" s="55" t="s">
        <v>112</v>
      </c>
      <c r="H22" s="55" t="s">
        <v>246</v>
      </c>
      <c r="L22" s="7"/>
    </row>
    <row r="23" spans="2:18" x14ac:dyDescent="0.25">
      <c r="B23" s="32" t="s">
        <v>206</v>
      </c>
      <c r="C23" s="56">
        <v>150</v>
      </c>
      <c r="D23" s="56">
        <v>150</v>
      </c>
      <c r="E23" s="56">
        <v>150</v>
      </c>
      <c r="F23" s="56">
        <v>179</v>
      </c>
      <c r="G23" s="56">
        <v>82.8</v>
      </c>
      <c r="H23" s="56">
        <v>82.8</v>
      </c>
    </row>
    <row r="24" spans="2:18" x14ac:dyDescent="0.25">
      <c r="B24" s="8" t="s">
        <v>239</v>
      </c>
    </row>
    <row r="25" spans="2:18" x14ac:dyDescent="0.25">
      <c r="B25" s="8"/>
    </row>
    <row r="26" spans="2:18" x14ac:dyDescent="0.25">
      <c r="D26" s="1"/>
    </row>
    <row r="27" spans="2:18" x14ac:dyDescent="0.25">
      <c r="B27" s="21" t="s">
        <v>228</v>
      </c>
      <c r="E27" s="21" t="s">
        <v>154</v>
      </c>
      <c r="F27" s="21" t="s">
        <v>155</v>
      </c>
      <c r="G27" s="21" t="s">
        <v>156</v>
      </c>
      <c r="H27" s="21" t="s">
        <v>157</v>
      </c>
      <c r="I27" s="21" t="s">
        <v>158</v>
      </c>
      <c r="J27" s="21" t="s">
        <v>159</v>
      </c>
      <c r="K27" s="21" t="s">
        <v>160</v>
      </c>
      <c r="L27" s="21" t="s">
        <v>165</v>
      </c>
    </row>
    <row r="28" spans="2:18" x14ac:dyDescent="0.25">
      <c r="B28" s="8" t="s">
        <v>162</v>
      </c>
      <c r="C28" s="55" t="s">
        <v>109</v>
      </c>
      <c r="D28" s="57" t="s">
        <v>154</v>
      </c>
      <c r="E28" s="41"/>
      <c r="F28" s="41"/>
      <c r="G28" s="41">
        <v>0.79</v>
      </c>
      <c r="H28" s="41">
        <v>0.02</v>
      </c>
      <c r="I28" s="41"/>
      <c r="J28" s="41">
        <v>0.19</v>
      </c>
      <c r="K28" s="41"/>
      <c r="L28" s="41"/>
    </row>
    <row r="29" spans="2:18" x14ac:dyDescent="0.25">
      <c r="C29" s="21" t="s">
        <v>109</v>
      </c>
      <c r="D29" s="31" t="s">
        <v>155</v>
      </c>
      <c r="E29" s="41"/>
      <c r="F29" s="41"/>
      <c r="G29" s="41">
        <v>0.42</v>
      </c>
      <c r="H29" s="41">
        <v>0.18</v>
      </c>
      <c r="I29" s="41"/>
      <c r="J29" s="41">
        <v>0.4</v>
      </c>
      <c r="K29" s="41"/>
      <c r="L29" s="41"/>
    </row>
    <row r="30" spans="2:18" x14ac:dyDescent="0.25">
      <c r="C30" s="21" t="s">
        <v>109</v>
      </c>
      <c r="D30" s="31" t="s">
        <v>156</v>
      </c>
    </row>
    <row r="31" spans="2:18" x14ac:dyDescent="0.25">
      <c r="C31" s="21" t="s">
        <v>109</v>
      </c>
      <c r="D31" s="31" t="s">
        <v>157</v>
      </c>
    </row>
    <row r="32" spans="2:18" x14ac:dyDescent="0.25">
      <c r="C32" s="21" t="s">
        <v>109</v>
      </c>
      <c r="D32" s="31" t="s">
        <v>158</v>
      </c>
    </row>
    <row r="33" spans="3:10" x14ac:dyDescent="0.25">
      <c r="C33" s="21" t="s">
        <v>109</v>
      </c>
      <c r="D33" s="31" t="s">
        <v>159</v>
      </c>
    </row>
    <row r="34" spans="3:10" x14ac:dyDescent="0.25">
      <c r="C34" s="21" t="s">
        <v>109</v>
      </c>
      <c r="D34" s="31" t="s">
        <v>160</v>
      </c>
    </row>
    <row r="35" spans="3:10" x14ac:dyDescent="0.25">
      <c r="C35" s="59" t="s">
        <v>109</v>
      </c>
      <c r="D35" s="58" t="s">
        <v>165</v>
      </c>
    </row>
    <row r="36" spans="3:10" x14ac:dyDescent="0.25">
      <c r="C36" s="55" t="s">
        <v>110</v>
      </c>
      <c r="D36" s="57" t="s">
        <v>154</v>
      </c>
      <c r="G36" s="41">
        <v>0.8</v>
      </c>
      <c r="H36" s="41">
        <v>0.02</v>
      </c>
      <c r="I36" s="41"/>
      <c r="J36" s="41">
        <v>0.18</v>
      </c>
    </row>
    <row r="37" spans="3:10" x14ac:dyDescent="0.25">
      <c r="C37" s="21" t="s">
        <v>110</v>
      </c>
      <c r="D37" s="31" t="s">
        <v>155</v>
      </c>
      <c r="G37" s="41">
        <v>0.42</v>
      </c>
      <c r="H37" s="41">
        <v>0.18</v>
      </c>
      <c r="I37" s="41"/>
      <c r="J37" s="41">
        <v>0.4</v>
      </c>
    </row>
    <row r="38" spans="3:10" x14ac:dyDescent="0.25">
      <c r="C38" s="21" t="s">
        <v>110</v>
      </c>
      <c r="D38" s="31" t="s">
        <v>156</v>
      </c>
    </row>
    <row r="39" spans="3:10" x14ac:dyDescent="0.25">
      <c r="C39" s="21" t="s">
        <v>110</v>
      </c>
      <c r="D39" s="31" t="s">
        <v>157</v>
      </c>
    </row>
    <row r="40" spans="3:10" x14ac:dyDescent="0.25">
      <c r="C40" s="21" t="s">
        <v>110</v>
      </c>
      <c r="D40" s="31" t="s">
        <v>158</v>
      </c>
    </row>
    <row r="41" spans="3:10" x14ac:dyDescent="0.25">
      <c r="C41" s="21" t="s">
        <v>110</v>
      </c>
      <c r="D41" s="31" t="s">
        <v>159</v>
      </c>
    </row>
    <row r="42" spans="3:10" x14ac:dyDescent="0.25">
      <c r="C42" s="21" t="s">
        <v>110</v>
      </c>
      <c r="D42" s="31" t="s">
        <v>160</v>
      </c>
    </row>
    <row r="43" spans="3:10" x14ac:dyDescent="0.25">
      <c r="C43" s="59" t="s">
        <v>110</v>
      </c>
      <c r="D43" s="58" t="s">
        <v>165</v>
      </c>
    </row>
    <row r="44" spans="3:10" x14ac:dyDescent="0.25">
      <c r="C44" s="55" t="s">
        <v>111</v>
      </c>
      <c r="D44" s="57" t="s">
        <v>154</v>
      </c>
      <c r="G44" s="41">
        <v>0.81</v>
      </c>
      <c r="H44" s="41">
        <v>0.02</v>
      </c>
      <c r="I44" s="41"/>
      <c r="J44" s="41">
        <v>0.17</v>
      </c>
    </row>
    <row r="45" spans="3:10" x14ac:dyDescent="0.25">
      <c r="C45" s="21" t="s">
        <v>111</v>
      </c>
      <c r="D45" s="31" t="s">
        <v>155</v>
      </c>
      <c r="G45" s="41">
        <v>0.42</v>
      </c>
      <c r="H45" s="41">
        <v>0.18</v>
      </c>
      <c r="I45" s="41"/>
      <c r="J45" s="41">
        <v>0.4</v>
      </c>
    </row>
    <row r="46" spans="3:10" x14ac:dyDescent="0.25">
      <c r="C46" s="21" t="s">
        <v>111</v>
      </c>
      <c r="D46" s="31" t="s">
        <v>156</v>
      </c>
    </row>
    <row r="47" spans="3:10" x14ac:dyDescent="0.25">
      <c r="C47" s="21" t="s">
        <v>111</v>
      </c>
      <c r="D47" s="31" t="s">
        <v>157</v>
      </c>
    </row>
    <row r="48" spans="3:10" x14ac:dyDescent="0.25">
      <c r="C48" s="21" t="s">
        <v>111</v>
      </c>
      <c r="D48" s="31" t="s">
        <v>158</v>
      </c>
    </row>
    <row r="49" spans="3:10" x14ac:dyDescent="0.25">
      <c r="C49" s="21" t="s">
        <v>111</v>
      </c>
      <c r="D49" s="31" t="s">
        <v>159</v>
      </c>
    </row>
    <row r="50" spans="3:10" x14ac:dyDescent="0.25">
      <c r="C50" s="21" t="s">
        <v>111</v>
      </c>
      <c r="D50" s="31" t="s">
        <v>160</v>
      </c>
    </row>
    <row r="51" spans="3:10" x14ac:dyDescent="0.25">
      <c r="C51" s="59" t="s">
        <v>111</v>
      </c>
      <c r="D51" s="58" t="s">
        <v>165</v>
      </c>
    </row>
    <row r="52" spans="3:10" x14ac:dyDescent="0.25">
      <c r="C52" s="55" t="s">
        <v>108</v>
      </c>
      <c r="D52" s="57" t="s">
        <v>154</v>
      </c>
    </row>
    <row r="53" spans="3:10" x14ac:dyDescent="0.25">
      <c r="C53" s="21" t="s">
        <v>108</v>
      </c>
      <c r="D53" s="31" t="s">
        <v>155</v>
      </c>
    </row>
    <row r="54" spans="3:10" x14ac:dyDescent="0.25">
      <c r="C54" s="21" t="s">
        <v>108</v>
      </c>
      <c r="D54" s="31" t="s">
        <v>156</v>
      </c>
      <c r="H54" s="7">
        <v>0.9</v>
      </c>
      <c r="I54" s="7">
        <v>0.1</v>
      </c>
    </row>
    <row r="55" spans="3:10" x14ac:dyDescent="0.25">
      <c r="C55" s="21" t="s">
        <v>108</v>
      </c>
      <c r="D55" s="31" t="s">
        <v>157</v>
      </c>
    </row>
    <row r="56" spans="3:10" x14ac:dyDescent="0.25">
      <c r="C56" s="21" t="s">
        <v>108</v>
      </c>
      <c r="D56" s="31" t="s">
        <v>158</v>
      </c>
    </row>
    <row r="57" spans="3:10" x14ac:dyDescent="0.25">
      <c r="C57" s="21" t="s">
        <v>108</v>
      </c>
      <c r="D57" s="31" t="s">
        <v>159</v>
      </c>
    </row>
    <row r="58" spans="3:10" x14ac:dyDescent="0.25">
      <c r="C58" s="21" t="s">
        <v>108</v>
      </c>
      <c r="D58" s="31" t="s">
        <v>160</v>
      </c>
    </row>
    <row r="59" spans="3:10" x14ac:dyDescent="0.25">
      <c r="C59" s="59" t="s">
        <v>108</v>
      </c>
      <c r="D59" s="58" t="s">
        <v>165</v>
      </c>
    </row>
    <row r="60" spans="3:10" x14ac:dyDescent="0.25">
      <c r="C60" s="55" t="s">
        <v>112</v>
      </c>
      <c r="D60" s="57" t="s">
        <v>154</v>
      </c>
    </row>
    <row r="61" spans="3:10" x14ac:dyDescent="0.25">
      <c r="C61" s="21" t="s">
        <v>112</v>
      </c>
      <c r="D61" s="31" t="s">
        <v>155</v>
      </c>
    </row>
    <row r="62" spans="3:10" x14ac:dyDescent="0.25">
      <c r="C62" s="21" t="s">
        <v>112</v>
      </c>
      <c r="D62" s="31" t="s">
        <v>156</v>
      </c>
      <c r="I62" s="7">
        <v>0.875</v>
      </c>
      <c r="J62" s="7">
        <v>0.125</v>
      </c>
    </row>
    <row r="63" spans="3:10" x14ac:dyDescent="0.25">
      <c r="C63" s="21" t="s">
        <v>112</v>
      </c>
      <c r="D63" s="31" t="s">
        <v>157</v>
      </c>
    </row>
    <row r="64" spans="3:10" x14ac:dyDescent="0.25">
      <c r="C64" s="21" t="s">
        <v>112</v>
      </c>
      <c r="D64" s="31" t="s">
        <v>158</v>
      </c>
    </row>
    <row r="65" spans="2:10" x14ac:dyDescent="0.25">
      <c r="C65" s="21" t="s">
        <v>112</v>
      </c>
      <c r="D65" s="31" t="s">
        <v>159</v>
      </c>
    </row>
    <row r="66" spans="2:10" x14ac:dyDescent="0.25">
      <c r="C66" s="21" t="s">
        <v>112</v>
      </c>
      <c r="D66" s="31" t="s">
        <v>160</v>
      </c>
    </row>
    <row r="67" spans="2:10" x14ac:dyDescent="0.25">
      <c r="C67" s="59" t="s">
        <v>112</v>
      </c>
      <c r="D67" s="58" t="s">
        <v>165</v>
      </c>
    </row>
    <row r="68" spans="2:10" x14ac:dyDescent="0.25">
      <c r="C68" s="27" t="s">
        <v>246</v>
      </c>
      <c r="D68" s="57" t="s">
        <v>154</v>
      </c>
    </row>
    <row r="69" spans="2:10" x14ac:dyDescent="0.25">
      <c r="C69" s="21" t="s">
        <v>246</v>
      </c>
      <c r="D69" s="31" t="s">
        <v>155</v>
      </c>
    </row>
    <row r="70" spans="2:10" x14ac:dyDescent="0.25">
      <c r="C70" s="21" t="s">
        <v>246</v>
      </c>
      <c r="D70" s="31" t="s">
        <v>156</v>
      </c>
      <c r="I70" s="7">
        <v>0.875</v>
      </c>
      <c r="J70" s="7">
        <v>0.125</v>
      </c>
    </row>
    <row r="71" spans="2:10" x14ac:dyDescent="0.25">
      <c r="C71" s="21" t="s">
        <v>246</v>
      </c>
      <c r="D71" s="31" t="s">
        <v>157</v>
      </c>
    </row>
    <row r="72" spans="2:10" x14ac:dyDescent="0.25">
      <c r="C72" s="21" t="s">
        <v>246</v>
      </c>
      <c r="D72" s="31" t="s">
        <v>158</v>
      </c>
    </row>
    <row r="73" spans="2:10" x14ac:dyDescent="0.25">
      <c r="C73" s="21" t="s">
        <v>246</v>
      </c>
      <c r="D73" s="31" t="s">
        <v>159</v>
      </c>
    </row>
    <row r="74" spans="2:10" x14ac:dyDescent="0.25">
      <c r="C74" s="21" t="s">
        <v>246</v>
      </c>
      <c r="D74" s="31" t="s">
        <v>160</v>
      </c>
    </row>
    <row r="75" spans="2:10" x14ac:dyDescent="0.25">
      <c r="C75" s="59" t="s">
        <v>246</v>
      </c>
      <c r="D75" s="58" t="s">
        <v>165</v>
      </c>
    </row>
    <row r="78" spans="2:10" x14ac:dyDescent="0.25">
      <c r="B78" s="8" t="s">
        <v>229</v>
      </c>
      <c r="C78" s="8" t="s">
        <v>154</v>
      </c>
      <c r="D78" s="8" t="s">
        <v>155</v>
      </c>
      <c r="E78" s="8" t="s">
        <v>156</v>
      </c>
      <c r="F78" s="8" t="s">
        <v>157</v>
      </c>
      <c r="G78" s="8" t="s">
        <v>158</v>
      </c>
      <c r="H78" s="8" t="s">
        <v>159</v>
      </c>
      <c r="I78" s="8" t="s">
        <v>160</v>
      </c>
      <c r="J78" s="8" t="s">
        <v>165</v>
      </c>
    </row>
    <row r="79" spans="2:10" x14ac:dyDescent="0.25">
      <c r="B79" s="32" t="s">
        <v>187</v>
      </c>
      <c r="C79" s="7">
        <v>4.3</v>
      </c>
      <c r="D79" s="7">
        <v>0</v>
      </c>
      <c r="E79" s="7">
        <v>30</v>
      </c>
      <c r="F79" s="7">
        <v>16</v>
      </c>
      <c r="G79" s="7">
        <v>2.8</v>
      </c>
      <c r="H79" s="7"/>
      <c r="I79" s="7"/>
      <c r="J79" s="7"/>
    </row>
    <row r="80" spans="2:10" x14ac:dyDescent="0.25">
      <c r="B80" s="8" t="s">
        <v>210</v>
      </c>
      <c r="D80" s="7"/>
      <c r="E80" s="7"/>
      <c r="F80" s="7"/>
      <c r="G80" s="7"/>
      <c r="H80" s="7"/>
      <c r="I80" s="7"/>
      <c r="J80" s="7"/>
    </row>
    <row r="81" spans="2:10" x14ac:dyDescent="0.25">
      <c r="D81" s="7"/>
      <c r="E81" s="7"/>
      <c r="F81" s="7"/>
      <c r="G81" s="7"/>
      <c r="H81" s="7"/>
      <c r="I81" s="7"/>
      <c r="J81" s="7"/>
    </row>
    <row r="82" spans="2:10" x14ac:dyDescent="0.25">
      <c r="D82" s="7"/>
      <c r="E82" s="7"/>
      <c r="F82" s="7"/>
      <c r="G82" s="7"/>
      <c r="H82" s="7"/>
      <c r="I82" s="7"/>
      <c r="J82" s="7"/>
    </row>
    <row r="83" spans="2:10" x14ac:dyDescent="0.25">
      <c r="B83" s="8" t="s">
        <v>240</v>
      </c>
      <c r="C83" s="8" t="s">
        <v>154</v>
      </c>
      <c r="D83" s="8" t="s">
        <v>155</v>
      </c>
      <c r="E83" s="8" t="s">
        <v>156</v>
      </c>
      <c r="F83" s="8" t="s">
        <v>157</v>
      </c>
      <c r="G83" s="8" t="s">
        <v>158</v>
      </c>
      <c r="H83" s="8" t="s">
        <v>159</v>
      </c>
      <c r="I83" s="8" t="s">
        <v>160</v>
      </c>
      <c r="J83" s="8" t="s">
        <v>165</v>
      </c>
    </row>
    <row r="84" spans="2:10" x14ac:dyDescent="0.25">
      <c r="B84" s="32" t="s">
        <v>241</v>
      </c>
      <c r="C84" s="7">
        <v>1.3</v>
      </c>
      <c r="D84" s="7">
        <v>0</v>
      </c>
      <c r="E84" s="7">
        <v>4</v>
      </c>
      <c r="F84" s="7">
        <v>1.6</v>
      </c>
      <c r="G84" s="7">
        <v>0.6</v>
      </c>
      <c r="H84" s="7"/>
      <c r="I84" s="7"/>
      <c r="J84" s="7"/>
    </row>
    <row r="85" spans="2:10" x14ac:dyDescent="0.25">
      <c r="B85" s="8" t="s">
        <v>210</v>
      </c>
      <c r="D85" s="7"/>
      <c r="E85" s="7"/>
      <c r="F85" s="7"/>
      <c r="G85" s="7"/>
      <c r="H85" s="7"/>
      <c r="I85" s="7"/>
      <c r="J85" s="7"/>
    </row>
    <row r="86" spans="2:10" x14ac:dyDescent="0.25">
      <c r="C86" s="29"/>
    </row>
    <row r="87" spans="2:10" x14ac:dyDescent="0.25">
      <c r="C87" s="29"/>
    </row>
    <row r="88" spans="2:10" x14ac:dyDescent="0.25">
      <c r="B88" s="8" t="s">
        <v>263</v>
      </c>
      <c r="C88" s="8" t="s">
        <v>154</v>
      </c>
      <c r="D88" s="8" t="s">
        <v>155</v>
      </c>
      <c r="E88" s="8" t="s">
        <v>156</v>
      </c>
      <c r="F88" s="8" t="s">
        <v>157</v>
      </c>
      <c r="G88" s="8" t="s">
        <v>158</v>
      </c>
      <c r="H88" s="8" t="s">
        <v>159</v>
      </c>
      <c r="I88" s="8" t="s">
        <v>160</v>
      </c>
      <c r="J88" s="8" t="s">
        <v>165</v>
      </c>
    </row>
    <row r="89" spans="2:10" x14ac:dyDescent="0.25">
      <c r="B89" s="8" t="s">
        <v>264</v>
      </c>
      <c r="C89" s="7">
        <v>0</v>
      </c>
      <c r="D89" s="7">
        <v>0</v>
      </c>
      <c r="E89" s="7">
        <v>0</v>
      </c>
      <c r="F89" s="7">
        <v>0</v>
      </c>
      <c r="G89" s="7">
        <v>0</v>
      </c>
      <c r="H89" s="7">
        <v>0</v>
      </c>
      <c r="I89" s="7">
        <v>0</v>
      </c>
      <c r="J89" s="7">
        <v>0</v>
      </c>
    </row>
    <row r="90" spans="2:10" x14ac:dyDescent="0.25">
      <c r="B90" s="8" t="s">
        <v>210</v>
      </c>
    </row>
  </sheetData>
  <pageMargins left="0.70866141732283472" right="0.70866141732283472" top="0.74803149606299213" bottom="0.74803149606299213" header="0.31496062992125984" footer="0.31496062992125984"/>
  <pageSetup paperSize="9" scale="51"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B57"/>
  <sheetViews>
    <sheetView showZeros="0" workbookViewId="0">
      <selection activeCell="C8" sqref="C8"/>
    </sheetView>
  </sheetViews>
  <sheetFormatPr defaultRowHeight="15" x14ac:dyDescent="0.25"/>
  <cols>
    <col min="2" max="2" width="20" customWidth="1"/>
    <col min="3" max="3" width="18.7109375" customWidth="1"/>
    <col min="4" max="4" width="14" bestFit="1" customWidth="1"/>
    <col min="6" max="6" width="10.5703125" customWidth="1"/>
  </cols>
  <sheetData>
    <row r="1" spans="1:25" ht="23.25" x14ac:dyDescent="0.35">
      <c r="A1" s="30" t="s">
        <v>163</v>
      </c>
    </row>
    <row r="3" spans="1:25" x14ac:dyDescent="0.25">
      <c r="B3" s="21" t="s">
        <v>211</v>
      </c>
      <c r="D3" s="24"/>
      <c r="E3" s="24"/>
      <c r="F3" s="24"/>
      <c r="G3" s="33" t="s">
        <v>164</v>
      </c>
      <c r="H3" s="24"/>
      <c r="I3" s="24"/>
      <c r="J3" s="24"/>
      <c r="K3" s="24"/>
      <c r="L3" s="24"/>
      <c r="M3" s="24"/>
      <c r="N3" s="24"/>
    </row>
    <row r="4" spans="1:25" x14ac:dyDescent="0.25">
      <c r="B4" s="21" t="s">
        <v>86</v>
      </c>
      <c r="C4" s="21"/>
      <c r="D4" s="64" t="s">
        <v>245</v>
      </c>
      <c r="E4" s="64" t="s">
        <v>247</v>
      </c>
      <c r="F4" s="64" t="s">
        <v>248</v>
      </c>
      <c r="G4" s="64" t="s">
        <v>249</v>
      </c>
      <c r="H4" s="64" t="s">
        <v>250</v>
      </c>
      <c r="I4" s="64" t="s">
        <v>251</v>
      </c>
      <c r="J4" s="64" t="s">
        <v>252</v>
      </c>
      <c r="K4" s="64" t="s">
        <v>253</v>
      </c>
      <c r="L4" s="64" t="s">
        <v>254</v>
      </c>
      <c r="M4" s="64" t="s">
        <v>255</v>
      </c>
      <c r="N4" s="64" t="s">
        <v>256</v>
      </c>
    </row>
    <row r="5" spans="1:25" ht="15.75" customHeight="1" x14ac:dyDescent="0.25">
      <c r="B5" s="21" t="s">
        <v>209</v>
      </c>
      <c r="C5" s="25" t="s">
        <v>128</v>
      </c>
      <c r="D5" s="24">
        <v>0.9</v>
      </c>
      <c r="E5" s="66">
        <v>0.9</v>
      </c>
      <c r="F5" s="24">
        <v>1.62</v>
      </c>
      <c r="G5" s="24"/>
      <c r="H5" s="24"/>
      <c r="I5" s="24">
        <v>0</v>
      </c>
      <c r="J5" s="24">
        <v>0</v>
      </c>
      <c r="K5" s="66">
        <v>1.62</v>
      </c>
      <c r="L5" s="66">
        <v>1.62</v>
      </c>
      <c r="M5" s="24">
        <v>0</v>
      </c>
      <c r="N5" s="24">
        <v>0</v>
      </c>
      <c r="P5" s="62"/>
      <c r="Q5" s="62"/>
      <c r="R5" s="62"/>
      <c r="S5" s="62"/>
      <c r="T5" s="62"/>
      <c r="U5" s="62"/>
      <c r="V5" s="62"/>
      <c r="W5" s="62"/>
      <c r="X5" s="62"/>
      <c r="Y5" s="62"/>
    </row>
    <row r="6" spans="1:25" x14ac:dyDescent="0.25">
      <c r="B6" s="24"/>
      <c r="C6" s="25" t="s">
        <v>129</v>
      </c>
      <c r="D6" s="66">
        <v>0.9</v>
      </c>
      <c r="E6" s="66">
        <v>0.9</v>
      </c>
      <c r="F6" s="24">
        <v>1.62</v>
      </c>
      <c r="G6" s="24"/>
      <c r="H6" s="24"/>
      <c r="I6" s="24">
        <v>0</v>
      </c>
      <c r="J6" s="24">
        <v>0</v>
      </c>
      <c r="K6" s="66">
        <v>1.62</v>
      </c>
      <c r="L6" s="66">
        <v>1.62</v>
      </c>
      <c r="M6" s="24">
        <v>0</v>
      </c>
      <c r="N6" s="24">
        <v>0</v>
      </c>
      <c r="O6" s="62"/>
      <c r="P6" s="62"/>
      <c r="Q6" s="62"/>
      <c r="R6" s="62"/>
      <c r="S6" s="62"/>
      <c r="T6" s="62"/>
      <c r="U6" s="62"/>
      <c r="V6" s="62"/>
      <c r="W6" s="62"/>
      <c r="X6" s="62"/>
      <c r="Y6" s="62"/>
    </row>
    <row r="7" spans="1:25" x14ac:dyDescent="0.25">
      <c r="B7" s="24"/>
      <c r="C7" s="25" t="s">
        <v>130</v>
      </c>
      <c r="D7" s="66">
        <v>0.9</v>
      </c>
      <c r="E7" s="66">
        <v>0.9</v>
      </c>
      <c r="F7" s="24">
        <v>1.62</v>
      </c>
      <c r="G7" s="24"/>
      <c r="H7" s="24"/>
      <c r="I7" s="24">
        <v>0</v>
      </c>
      <c r="J7" s="24">
        <v>0</v>
      </c>
      <c r="K7" s="66">
        <v>1.62</v>
      </c>
      <c r="L7" s="66">
        <v>1.62</v>
      </c>
      <c r="M7" s="24">
        <v>0</v>
      </c>
      <c r="N7" s="24">
        <v>0</v>
      </c>
      <c r="O7" s="62"/>
      <c r="P7" s="62"/>
      <c r="Q7" s="62"/>
      <c r="R7" s="62"/>
      <c r="S7" s="62"/>
      <c r="T7" s="62"/>
      <c r="U7" s="62"/>
      <c r="V7" s="62"/>
      <c r="W7" s="62"/>
      <c r="X7" s="62"/>
      <c r="Y7" s="62"/>
    </row>
    <row r="8" spans="1:25" x14ac:dyDescent="0.25">
      <c r="B8" s="24"/>
      <c r="C8" s="25" t="s">
        <v>131</v>
      </c>
      <c r="D8" s="24">
        <v>0</v>
      </c>
      <c r="E8" s="24">
        <v>0</v>
      </c>
      <c r="F8" s="24">
        <v>0</v>
      </c>
      <c r="G8" s="24">
        <v>0</v>
      </c>
      <c r="H8" s="24">
        <v>0</v>
      </c>
      <c r="I8" s="24"/>
      <c r="J8" s="24"/>
      <c r="K8" s="24">
        <v>0</v>
      </c>
      <c r="L8" s="24">
        <v>0</v>
      </c>
      <c r="M8" s="24">
        <v>1.05</v>
      </c>
      <c r="O8" s="62"/>
      <c r="P8" s="62"/>
      <c r="Q8" s="62"/>
      <c r="R8" s="62"/>
      <c r="S8" s="62"/>
      <c r="T8" s="62"/>
      <c r="U8" s="62"/>
      <c r="V8" s="62"/>
      <c r="W8" s="62"/>
      <c r="X8" s="62"/>
      <c r="Y8" s="62"/>
    </row>
    <row r="9" spans="1:25" x14ac:dyDescent="0.25">
      <c r="B9" s="24"/>
      <c r="C9" s="25" t="s">
        <v>132</v>
      </c>
      <c r="D9" s="24">
        <v>0</v>
      </c>
      <c r="E9" s="24">
        <v>0</v>
      </c>
      <c r="F9" s="24">
        <v>0</v>
      </c>
      <c r="G9" s="24">
        <v>0</v>
      </c>
      <c r="H9" s="24">
        <v>0</v>
      </c>
      <c r="I9" s="24"/>
      <c r="J9" s="24"/>
      <c r="K9" s="24">
        <v>0</v>
      </c>
      <c r="L9" s="24">
        <v>0</v>
      </c>
      <c r="M9" s="66">
        <v>1.05</v>
      </c>
      <c r="O9" s="62"/>
      <c r="P9" s="62"/>
      <c r="Q9" s="62"/>
      <c r="R9" s="62"/>
      <c r="S9" s="62"/>
      <c r="T9" s="62"/>
      <c r="U9" s="62"/>
      <c r="V9" s="62"/>
      <c r="W9" s="62"/>
      <c r="X9" s="62"/>
      <c r="Y9" s="62"/>
    </row>
    <row r="10" spans="1:25" x14ac:dyDescent="0.25">
      <c r="B10" s="24"/>
      <c r="C10" s="25" t="s">
        <v>133</v>
      </c>
      <c r="D10" s="24">
        <v>0</v>
      </c>
      <c r="E10" s="24">
        <v>0</v>
      </c>
      <c r="F10" s="24">
        <v>0</v>
      </c>
      <c r="G10" s="24">
        <v>0</v>
      </c>
      <c r="H10" s="24">
        <v>0</v>
      </c>
      <c r="I10" s="24"/>
      <c r="J10" s="24"/>
      <c r="K10" s="24">
        <v>0</v>
      </c>
      <c r="L10" s="24">
        <v>0</v>
      </c>
      <c r="M10" s="24">
        <v>0</v>
      </c>
      <c r="N10" s="24">
        <v>0.24</v>
      </c>
      <c r="O10" s="62"/>
      <c r="P10" s="62"/>
      <c r="Q10" s="62"/>
      <c r="R10" s="62"/>
      <c r="S10" s="62"/>
      <c r="T10" s="62"/>
      <c r="U10" s="62"/>
      <c r="V10" s="62"/>
      <c r="W10" s="62"/>
      <c r="X10" s="62"/>
      <c r="Y10" s="62"/>
    </row>
    <row r="11" spans="1:25" x14ac:dyDescent="0.25">
      <c r="B11" s="24"/>
      <c r="C11" s="25" t="s">
        <v>134</v>
      </c>
      <c r="D11" s="24">
        <v>0</v>
      </c>
      <c r="E11" s="24">
        <v>0</v>
      </c>
      <c r="F11" s="24">
        <v>0</v>
      </c>
      <c r="G11" s="24">
        <v>0</v>
      </c>
      <c r="H11" s="24">
        <v>0</v>
      </c>
      <c r="I11" s="24"/>
      <c r="J11" s="24"/>
      <c r="K11" s="24">
        <v>0</v>
      </c>
      <c r="L11" s="24">
        <v>0</v>
      </c>
      <c r="M11" s="24">
        <v>0</v>
      </c>
      <c r="N11" s="24">
        <v>0.24</v>
      </c>
      <c r="O11" s="62"/>
      <c r="P11" s="62"/>
      <c r="Q11" s="62"/>
      <c r="R11" s="62"/>
      <c r="S11" s="62"/>
      <c r="T11" s="62"/>
      <c r="U11" s="62"/>
      <c r="V11" s="62"/>
      <c r="W11" s="62"/>
      <c r="X11" s="62"/>
      <c r="Y11" s="62"/>
    </row>
    <row r="12" spans="1:25" x14ac:dyDescent="0.25">
      <c r="B12" s="24"/>
      <c r="C12" s="25" t="s">
        <v>135</v>
      </c>
      <c r="D12" s="24">
        <v>0</v>
      </c>
      <c r="E12" s="24">
        <v>0</v>
      </c>
      <c r="F12" s="24">
        <v>0</v>
      </c>
      <c r="G12" s="24">
        <v>1.2</v>
      </c>
      <c r="H12" s="66">
        <v>1.2</v>
      </c>
      <c r="I12" s="66">
        <v>1.62</v>
      </c>
      <c r="J12" s="66">
        <v>1.62</v>
      </c>
      <c r="K12" s="24"/>
      <c r="L12" s="24"/>
      <c r="M12" s="24"/>
      <c r="N12" s="24"/>
      <c r="O12" s="62"/>
      <c r="P12" s="62"/>
      <c r="Q12" s="62"/>
      <c r="R12" s="62"/>
      <c r="S12" s="62"/>
      <c r="T12" s="62"/>
      <c r="U12" s="62"/>
      <c r="V12" s="62"/>
      <c r="W12" s="62"/>
      <c r="X12" s="62"/>
      <c r="Y12" s="62"/>
    </row>
    <row r="13" spans="1:25" x14ac:dyDescent="0.25">
      <c r="B13" s="24"/>
      <c r="C13" s="25" t="s">
        <v>136</v>
      </c>
      <c r="D13" s="24">
        <v>0</v>
      </c>
      <c r="E13" s="24">
        <v>0</v>
      </c>
      <c r="F13" s="24">
        <v>0</v>
      </c>
      <c r="G13" s="66">
        <v>1.2</v>
      </c>
      <c r="H13" s="66">
        <v>1.2</v>
      </c>
      <c r="I13" s="66">
        <v>1.62</v>
      </c>
      <c r="J13" s="66">
        <v>1.62</v>
      </c>
      <c r="K13" s="24"/>
      <c r="L13" s="24"/>
      <c r="M13" s="24"/>
      <c r="N13" s="24"/>
      <c r="O13" s="62"/>
      <c r="P13" s="62"/>
      <c r="Q13" s="62"/>
      <c r="R13" s="62"/>
      <c r="S13" s="62"/>
      <c r="T13" s="62"/>
      <c r="U13" s="62"/>
      <c r="V13" s="62"/>
      <c r="W13" s="62"/>
      <c r="X13" s="62"/>
      <c r="Y13" s="62"/>
    </row>
    <row r="14" spans="1:25" x14ac:dyDescent="0.25">
      <c r="B14" s="24"/>
      <c r="C14" s="25" t="s">
        <v>137</v>
      </c>
      <c r="D14" s="24">
        <v>0</v>
      </c>
      <c r="E14" s="24">
        <v>0</v>
      </c>
      <c r="F14" s="24">
        <v>0</v>
      </c>
      <c r="G14" s="66">
        <v>1.2</v>
      </c>
      <c r="H14" s="66">
        <v>1.2</v>
      </c>
      <c r="I14" s="66">
        <v>1.62</v>
      </c>
      <c r="J14" s="66">
        <v>1.62</v>
      </c>
      <c r="K14" s="24"/>
      <c r="L14" s="24"/>
      <c r="M14" s="24"/>
      <c r="N14" s="24"/>
      <c r="O14" s="62"/>
      <c r="P14" s="62"/>
      <c r="Q14" s="62"/>
      <c r="R14" s="62"/>
      <c r="S14" s="62"/>
      <c r="T14" s="62"/>
      <c r="U14" s="62"/>
      <c r="V14" s="62"/>
      <c r="W14" s="62"/>
      <c r="X14" s="62"/>
      <c r="Y14" s="62"/>
    </row>
    <row r="15" spans="1:25" x14ac:dyDescent="0.25">
      <c r="B15" s="41"/>
      <c r="C15" s="42"/>
      <c r="D15" s="41"/>
      <c r="E15" s="41"/>
      <c r="F15" s="41"/>
      <c r="G15" s="41"/>
      <c r="H15" s="41"/>
      <c r="I15" s="41"/>
      <c r="J15" s="41"/>
      <c r="K15" s="41"/>
      <c r="L15" s="41"/>
      <c r="M15" s="41"/>
      <c r="N15" s="41"/>
      <c r="O15" s="41"/>
    </row>
    <row r="16" spans="1:25" x14ac:dyDescent="0.25">
      <c r="B16" s="24"/>
      <c r="C16" s="24"/>
      <c r="D16" s="24"/>
      <c r="E16" s="24"/>
      <c r="F16" s="24"/>
      <c r="G16" s="24"/>
      <c r="H16" s="24"/>
      <c r="I16" s="24"/>
      <c r="J16" s="24"/>
      <c r="K16" s="24"/>
      <c r="L16" s="24"/>
      <c r="M16" s="24"/>
      <c r="N16" s="24"/>
      <c r="O16" s="24"/>
    </row>
    <row r="17" spans="1:15" x14ac:dyDescent="0.25">
      <c r="B17" s="21" t="s">
        <v>212</v>
      </c>
      <c r="E17" s="24"/>
      <c r="F17" s="24"/>
      <c r="G17" s="24"/>
      <c r="H17" s="24"/>
      <c r="I17" s="24"/>
      <c r="J17" s="24"/>
      <c r="K17" s="24"/>
      <c r="L17" s="24"/>
      <c r="M17" s="24"/>
      <c r="N17" s="24"/>
      <c r="O17" s="24"/>
    </row>
    <row r="18" spans="1:15" x14ac:dyDescent="0.25">
      <c r="B18" s="21" t="s">
        <v>88</v>
      </c>
      <c r="C18" s="76"/>
      <c r="D18" s="76" t="s">
        <v>245</v>
      </c>
      <c r="E18" s="76" t="s">
        <v>247</v>
      </c>
      <c r="F18" s="76" t="s">
        <v>248</v>
      </c>
      <c r="G18" s="76" t="s">
        <v>249</v>
      </c>
      <c r="H18" s="76" t="s">
        <v>250</v>
      </c>
      <c r="I18" s="76" t="s">
        <v>251</v>
      </c>
      <c r="J18" s="76" t="s">
        <v>252</v>
      </c>
      <c r="K18" s="76" t="s">
        <v>253</v>
      </c>
      <c r="L18" s="76" t="s">
        <v>254</v>
      </c>
      <c r="M18" s="76" t="s">
        <v>255</v>
      </c>
      <c r="N18" s="76" t="s">
        <v>256</v>
      </c>
    </row>
    <row r="19" spans="1:15" ht="15" customHeight="1" x14ac:dyDescent="0.25">
      <c r="B19" s="21" t="s">
        <v>167</v>
      </c>
      <c r="C19" s="82" t="s">
        <v>128</v>
      </c>
      <c r="D19" s="87">
        <v>2</v>
      </c>
      <c r="E19" s="87">
        <v>2</v>
      </c>
      <c r="F19" s="87">
        <v>2</v>
      </c>
      <c r="G19" s="157"/>
      <c r="H19" s="157"/>
      <c r="I19" s="87">
        <v>0</v>
      </c>
      <c r="J19" s="87">
        <v>0</v>
      </c>
      <c r="K19" s="87">
        <v>1</v>
      </c>
      <c r="L19" s="87">
        <v>1</v>
      </c>
      <c r="M19" s="157"/>
      <c r="N19" s="157"/>
    </row>
    <row r="20" spans="1:15" x14ac:dyDescent="0.25">
      <c r="B20" s="24"/>
      <c r="C20" s="82" t="s">
        <v>129</v>
      </c>
      <c r="D20" s="87">
        <v>2</v>
      </c>
      <c r="E20" s="87">
        <v>2</v>
      </c>
      <c r="F20" s="87">
        <v>2</v>
      </c>
      <c r="G20" s="157"/>
      <c r="H20" s="157"/>
      <c r="I20" s="87">
        <v>0</v>
      </c>
      <c r="J20" s="87">
        <v>0</v>
      </c>
      <c r="K20" s="87">
        <v>1</v>
      </c>
      <c r="L20" s="87">
        <v>1</v>
      </c>
      <c r="M20" s="157"/>
      <c r="N20" s="157"/>
    </row>
    <row r="21" spans="1:15" x14ac:dyDescent="0.25">
      <c r="B21" s="24"/>
      <c r="C21" s="82" t="s">
        <v>130</v>
      </c>
      <c r="D21" s="87">
        <f>D20+1</f>
        <v>3</v>
      </c>
      <c r="E21" s="87">
        <f t="shared" ref="E21:F21" si="0">E20+1</f>
        <v>3</v>
      </c>
      <c r="F21" s="87">
        <f t="shared" si="0"/>
        <v>3</v>
      </c>
      <c r="G21" s="157"/>
      <c r="H21" s="157"/>
      <c r="I21" s="87">
        <v>0</v>
      </c>
      <c r="J21" s="87">
        <v>0</v>
      </c>
      <c r="K21" s="87">
        <v>2</v>
      </c>
      <c r="L21" s="87">
        <v>2</v>
      </c>
      <c r="M21" s="87"/>
      <c r="N21" s="87"/>
    </row>
    <row r="22" spans="1:15" x14ac:dyDescent="0.25">
      <c r="B22" s="24"/>
      <c r="C22" s="82" t="s">
        <v>131</v>
      </c>
      <c r="D22" s="87">
        <v>0</v>
      </c>
      <c r="E22" s="87">
        <v>0</v>
      </c>
      <c r="F22" s="87">
        <v>0</v>
      </c>
      <c r="G22" s="87">
        <v>0</v>
      </c>
      <c r="H22" s="87">
        <v>0</v>
      </c>
      <c r="I22" s="87"/>
      <c r="J22" s="87">
        <v>0</v>
      </c>
      <c r="K22" s="87">
        <v>0</v>
      </c>
      <c r="L22" s="87">
        <v>0</v>
      </c>
      <c r="M22" s="87">
        <v>2</v>
      </c>
      <c r="N22" s="87">
        <v>0</v>
      </c>
    </row>
    <row r="23" spans="1:15" x14ac:dyDescent="0.25">
      <c r="B23" s="24"/>
      <c r="C23" s="82" t="s">
        <v>132</v>
      </c>
      <c r="D23" s="87">
        <v>0</v>
      </c>
      <c r="E23" s="87">
        <v>0</v>
      </c>
      <c r="F23" s="87">
        <v>0</v>
      </c>
      <c r="G23" s="87">
        <v>0</v>
      </c>
      <c r="H23" s="87">
        <v>0</v>
      </c>
      <c r="I23" s="87"/>
      <c r="J23" s="87">
        <v>0</v>
      </c>
      <c r="K23" s="87">
        <v>0</v>
      </c>
      <c r="L23" s="87">
        <v>0</v>
      </c>
      <c r="M23" s="87">
        <v>3</v>
      </c>
      <c r="N23" s="87">
        <v>0</v>
      </c>
    </row>
    <row r="24" spans="1:15" x14ac:dyDescent="0.25">
      <c r="B24" s="24"/>
      <c r="C24" s="82" t="s">
        <v>133</v>
      </c>
      <c r="D24" s="87">
        <v>0</v>
      </c>
      <c r="E24" s="87">
        <v>0</v>
      </c>
      <c r="F24" s="87">
        <v>0</v>
      </c>
      <c r="G24" s="87">
        <v>0</v>
      </c>
      <c r="H24" s="87">
        <v>0</v>
      </c>
      <c r="I24" s="87">
        <v>0</v>
      </c>
      <c r="J24" s="157"/>
      <c r="K24" s="87">
        <v>0</v>
      </c>
      <c r="L24" s="87">
        <v>0</v>
      </c>
      <c r="M24" s="87">
        <v>0</v>
      </c>
      <c r="N24" s="87">
        <v>2</v>
      </c>
    </row>
    <row r="25" spans="1:15" x14ac:dyDescent="0.25">
      <c r="B25" s="24"/>
      <c r="C25" s="82" t="s">
        <v>134</v>
      </c>
      <c r="D25" s="87">
        <v>0</v>
      </c>
      <c r="E25" s="87">
        <v>0</v>
      </c>
      <c r="F25" s="87">
        <v>0</v>
      </c>
      <c r="G25" s="87">
        <v>0</v>
      </c>
      <c r="H25" s="87">
        <v>0</v>
      </c>
      <c r="I25" s="87">
        <v>0</v>
      </c>
      <c r="J25" s="157"/>
      <c r="K25" s="87">
        <v>0</v>
      </c>
      <c r="L25" s="87">
        <v>0</v>
      </c>
      <c r="M25" s="87">
        <v>0</v>
      </c>
      <c r="N25" s="87">
        <v>3</v>
      </c>
    </row>
    <row r="26" spans="1:15" x14ac:dyDescent="0.25">
      <c r="B26" s="24"/>
      <c r="C26" s="82" t="s">
        <v>135</v>
      </c>
      <c r="D26" s="87">
        <v>0</v>
      </c>
      <c r="E26" s="87">
        <v>0</v>
      </c>
      <c r="F26" s="87">
        <v>0</v>
      </c>
      <c r="G26" s="87">
        <v>2</v>
      </c>
      <c r="H26" s="87">
        <v>3</v>
      </c>
      <c r="I26" s="87">
        <v>1</v>
      </c>
      <c r="J26" s="87">
        <v>2</v>
      </c>
      <c r="K26" s="157"/>
      <c r="L26" s="157"/>
      <c r="M26" s="157"/>
      <c r="N26" s="157"/>
    </row>
    <row r="27" spans="1:15" x14ac:dyDescent="0.25">
      <c r="B27" s="24"/>
      <c r="C27" s="82" t="s">
        <v>136</v>
      </c>
      <c r="D27" s="87">
        <v>0</v>
      </c>
      <c r="E27" s="87">
        <v>0</v>
      </c>
      <c r="F27" s="87">
        <v>0</v>
      </c>
      <c r="G27" s="87">
        <v>2</v>
      </c>
      <c r="H27" s="87">
        <v>3</v>
      </c>
      <c r="I27" s="87">
        <v>1</v>
      </c>
      <c r="J27" s="87">
        <v>3</v>
      </c>
      <c r="K27" s="157"/>
      <c r="L27" s="157"/>
      <c r="M27" s="157"/>
      <c r="N27" s="157"/>
    </row>
    <row r="28" spans="1:15" x14ac:dyDescent="0.25">
      <c r="B28" s="24"/>
      <c r="C28" s="82" t="s">
        <v>137</v>
      </c>
      <c r="D28" s="87">
        <v>0</v>
      </c>
      <c r="E28" s="87">
        <v>0</v>
      </c>
      <c r="F28" s="87">
        <v>0</v>
      </c>
      <c r="G28" s="87">
        <f>G27+1</f>
        <v>3</v>
      </c>
      <c r="H28" s="87">
        <f>H27+1</f>
        <v>4</v>
      </c>
      <c r="I28" s="87">
        <v>1</v>
      </c>
      <c r="J28" s="87">
        <v>2</v>
      </c>
      <c r="K28" s="157"/>
      <c r="L28" s="157"/>
      <c r="M28" s="157"/>
      <c r="N28" s="157"/>
    </row>
    <row r="29" spans="1:15" x14ac:dyDescent="0.25">
      <c r="B29" s="41"/>
      <c r="C29" s="42"/>
      <c r="D29" s="41"/>
      <c r="E29" s="41"/>
      <c r="F29" s="41"/>
      <c r="G29" s="41"/>
      <c r="H29" s="41"/>
      <c r="I29" s="41"/>
      <c r="J29" s="41"/>
      <c r="K29" s="41"/>
      <c r="L29" s="41"/>
      <c r="M29" s="41"/>
      <c r="N29" s="41"/>
      <c r="O29" s="41"/>
    </row>
    <row r="30" spans="1:15" x14ac:dyDescent="0.25">
      <c r="D30" s="25"/>
    </row>
    <row r="31" spans="1:15" x14ac:dyDescent="0.25">
      <c r="A31" s="26" t="s">
        <v>166</v>
      </c>
    </row>
    <row r="32" spans="1:15" x14ac:dyDescent="0.25">
      <c r="B32" s="26" t="s">
        <v>236</v>
      </c>
      <c r="C32" s="75"/>
      <c r="D32" s="76" t="s">
        <v>128</v>
      </c>
      <c r="E32" s="76" t="s">
        <v>129</v>
      </c>
      <c r="F32" s="76" t="s">
        <v>130</v>
      </c>
      <c r="G32" s="76" t="s">
        <v>131</v>
      </c>
      <c r="H32" s="76" t="s">
        <v>132</v>
      </c>
      <c r="I32" s="76" t="s">
        <v>133</v>
      </c>
      <c r="J32" s="76" t="s">
        <v>134</v>
      </c>
      <c r="K32" s="76" t="s">
        <v>135</v>
      </c>
      <c r="L32" s="76" t="s">
        <v>136</v>
      </c>
      <c r="M32" s="76" t="s">
        <v>137</v>
      </c>
    </row>
    <row r="33" spans="2:28" ht="15" customHeight="1" x14ac:dyDescent="0.25">
      <c r="C33" s="77" t="s">
        <v>154</v>
      </c>
      <c r="D33" s="157"/>
      <c r="E33" s="157"/>
      <c r="F33" s="157"/>
      <c r="G33" s="157"/>
      <c r="H33" s="157"/>
      <c r="I33" s="157"/>
      <c r="J33" s="157"/>
      <c r="K33" s="157"/>
      <c r="L33" s="157"/>
      <c r="M33" s="157"/>
    </row>
    <row r="34" spans="2:28" x14ac:dyDescent="0.25">
      <c r="C34" s="77" t="s">
        <v>155</v>
      </c>
      <c r="D34" s="157"/>
      <c r="E34" s="157"/>
      <c r="F34" s="157"/>
      <c r="G34" s="157"/>
      <c r="H34" s="157"/>
      <c r="I34" s="157"/>
      <c r="J34" s="157"/>
      <c r="K34" s="157"/>
      <c r="L34" s="157"/>
      <c r="M34" s="157"/>
    </row>
    <row r="35" spans="2:28" x14ac:dyDescent="0.25">
      <c r="C35" s="77" t="s">
        <v>156</v>
      </c>
      <c r="D35" s="78">
        <v>0.9</v>
      </c>
      <c r="E35" s="78">
        <v>0.9</v>
      </c>
      <c r="F35" s="78">
        <v>0.9</v>
      </c>
      <c r="G35" s="78">
        <v>0.9</v>
      </c>
      <c r="H35" s="78">
        <v>0.9</v>
      </c>
      <c r="I35" s="78">
        <v>0.9</v>
      </c>
      <c r="J35" s="78">
        <v>0.9</v>
      </c>
      <c r="K35" s="78">
        <v>0.1</v>
      </c>
      <c r="L35" s="78">
        <v>0.1</v>
      </c>
      <c r="M35" s="78">
        <v>0.1</v>
      </c>
    </row>
    <row r="36" spans="2:28" x14ac:dyDescent="0.25">
      <c r="C36" s="77" t="s">
        <v>157</v>
      </c>
      <c r="D36" s="78"/>
      <c r="E36" s="78"/>
      <c r="F36" s="78"/>
      <c r="G36" s="78"/>
      <c r="H36" s="78"/>
      <c r="I36" s="78"/>
      <c r="J36" s="78"/>
      <c r="K36" s="78">
        <v>0.9</v>
      </c>
      <c r="L36" s="78">
        <v>0.9</v>
      </c>
      <c r="M36" s="78">
        <v>0.9</v>
      </c>
    </row>
    <row r="37" spans="2:28" x14ac:dyDescent="0.25">
      <c r="C37" s="77" t="s">
        <v>158</v>
      </c>
      <c r="D37" s="78">
        <v>0.1</v>
      </c>
      <c r="E37" s="78">
        <v>0.1</v>
      </c>
      <c r="F37" s="78">
        <v>0.1</v>
      </c>
      <c r="G37" s="78"/>
      <c r="H37" s="78"/>
      <c r="I37" s="78"/>
      <c r="J37" s="78"/>
      <c r="K37" s="78"/>
      <c r="L37" s="78"/>
      <c r="M37" s="78"/>
    </row>
    <row r="38" spans="2:28" x14ac:dyDescent="0.25">
      <c r="C38" s="77" t="s">
        <v>159</v>
      </c>
      <c r="D38" s="78"/>
      <c r="E38" s="78"/>
      <c r="F38" s="78"/>
      <c r="G38" s="78"/>
      <c r="H38" s="78"/>
      <c r="I38" s="78"/>
      <c r="J38" s="78"/>
      <c r="K38" s="78"/>
      <c r="L38" s="78"/>
      <c r="M38" s="78"/>
    </row>
    <row r="39" spans="2:28" x14ac:dyDescent="0.25">
      <c r="C39" s="77" t="s">
        <v>160</v>
      </c>
      <c r="D39" s="78"/>
      <c r="E39" s="78"/>
      <c r="F39" s="78"/>
      <c r="G39" s="78">
        <v>0.1</v>
      </c>
      <c r="H39" s="78">
        <v>0.1</v>
      </c>
      <c r="I39" s="78">
        <v>0.1</v>
      </c>
      <c r="J39" s="78">
        <v>0.1</v>
      </c>
      <c r="K39" s="78"/>
      <c r="L39" s="78"/>
      <c r="M39" s="78"/>
    </row>
    <row r="40" spans="2:28" x14ac:dyDescent="0.25">
      <c r="C40" s="77" t="s">
        <v>165</v>
      </c>
      <c r="D40" s="78"/>
      <c r="E40" s="78"/>
      <c r="F40" s="157"/>
      <c r="G40" s="157"/>
      <c r="H40" s="157"/>
      <c r="I40" s="157"/>
      <c r="J40" s="157"/>
      <c r="K40" s="157"/>
      <c r="L40" s="157"/>
      <c r="M40" s="157"/>
    </row>
    <row r="41" spans="2:28" x14ac:dyDescent="0.25">
      <c r="C41" s="24"/>
      <c r="D41" s="70"/>
      <c r="E41" s="70"/>
      <c r="F41" s="71"/>
      <c r="G41" s="71"/>
      <c r="H41" s="71"/>
      <c r="I41" s="71"/>
      <c r="J41" s="71"/>
      <c r="K41" s="71"/>
      <c r="L41" s="71"/>
      <c r="M41" s="71"/>
    </row>
    <row r="42" spans="2:28" x14ac:dyDescent="0.25">
      <c r="C42" s="24"/>
      <c r="D42" s="70"/>
      <c r="E42" s="70"/>
      <c r="F42" s="71"/>
      <c r="G42" s="71"/>
      <c r="H42" s="71"/>
      <c r="I42" s="71"/>
      <c r="J42" s="71"/>
      <c r="K42" s="71"/>
      <c r="L42" s="71"/>
      <c r="M42" s="71"/>
    </row>
    <row r="46" spans="2:28" x14ac:dyDescent="0.25">
      <c r="B46" s="64" t="s">
        <v>105</v>
      </c>
      <c r="C46" s="62"/>
      <c r="D46" s="62"/>
      <c r="E46" s="62"/>
      <c r="F46" s="62"/>
      <c r="G46" s="62"/>
      <c r="H46" s="62"/>
      <c r="I46" s="62"/>
      <c r="J46" s="62"/>
      <c r="K46" s="62"/>
      <c r="L46" s="62"/>
      <c r="M46" s="62"/>
      <c r="N46" s="62"/>
      <c r="O46" s="62"/>
    </row>
    <row r="47" spans="2:28" x14ac:dyDescent="0.25">
      <c r="B47" s="64" t="s">
        <v>106</v>
      </c>
      <c r="C47" s="68"/>
      <c r="D47" s="64" t="s">
        <v>245</v>
      </c>
      <c r="E47" s="64" t="s">
        <v>247</v>
      </c>
      <c r="F47" s="64" t="s">
        <v>248</v>
      </c>
      <c r="G47" s="64" t="s">
        <v>249</v>
      </c>
      <c r="H47" s="64" t="s">
        <v>250</v>
      </c>
      <c r="I47" s="64" t="s">
        <v>251</v>
      </c>
      <c r="J47" s="64" t="s">
        <v>252</v>
      </c>
      <c r="K47" s="64" t="s">
        <v>253</v>
      </c>
      <c r="L47" s="64" t="s">
        <v>254</v>
      </c>
      <c r="M47" s="64" t="s">
        <v>255</v>
      </c>
      <c r="N47" s="64" t="s">
        <v>256</v>
      </c>
      <c r="O47" s="27"/>
    </row>
    <row r="48" spans="2:28" x14ac:dyDescent="0.25">
      <c r="B48" s="64" t="s">
        <v>239</v>
      </c>
      <c r="C48" s="64" t="s">
        <v>128</v>
      </c>
      <c r="D48" s="68">
        <v>27</v>
      </c>
      <c r="E48" s="68">
        <v>27</v>
      </c>
      <c r="F48" s="68">
        <v>48.6</v>
      </c>
      <c r="G48" s="68">
        <v>0</v>
      </c>
      <c r="H48" s="68">
        <v>0</v>
      </c>
      <c r="I48" s="68">
        <v>0</v>
      </c>
      <c r="J48" s="68">
        <v>0</v>
      </c>
      <c r="K48" s="68">
        <v>48.6</v>
      </c>
      <c r="L48" s="68">
        <v>48.6</v>
      </c>
      <c r="M48" s="68">
        <v>0</v>
      </c>
      <c r="N48" s="68">
        <v>0</v>
      </c>
      <c r="O48" s="63"/>
      <c r="R48" s="62"/>
      <c r="S48" s="62"/>
      <c r="T48" s="62"/>
      <c r="U48" s="62"/>
      <c r="V48" s="62"/>
      <c r="W48" s="62"/>
      <c r="X48" s="62"/>
      <c r="Y48" s="62"/>
      <c r="Z48" s="62"/>
      <c r="AA48" s="62"/>
      <c r="AB48" s="62"/>
    </row>
    <row r="49" spans="2:28" x14ac:dyDescent="0.25">
      <c r="B49" s="68"/>
      <c r="C49" s="64" t="s">
        <v>129</v>
      </c>
      <c r="D49" s="68">
        <v>27</v>
      </c>
      <c r="E49" s="68">
        <v>27</v>
      </c>
      <c r="F49" s="68">
        <v>48.6</v>
      </c>
      <c r="G49" s="68">
        <v>0</v>
      </c>
      <c r="H49" s="68">
        <v>0</v>
      </c>
      <c r="I49" s="68">
        <v>0</v>
      </c>
      <c r="J49" s="68">
        <v>0</v>
      </c>
      <c r="K49" s="68">
        <v>48.6</v>
      </c>
      <c r="L49" s="68">
        <v>48.6</v>
      </c>
      <c r="M49" s="68">
        <v>0</v>
      </c>
      <c r="N49" s="68">
        <v>0</v>
      </c>
      <c r="O49" s="63"/>
      <c r="Q49" s="62"/>
      <c r="R49" s="62"/>
      <c r="S49" s="62"/>
      <c r="T49" s="62"/>
      <c r="U49" s="62"/>
      <c r="V49" s="62"/>
      <c r="W49" s="62"/>
      <c r="X49" s="62"/>
      <c r="Y49" s="62"/>
      <c r="Z49" s="62"/>
      <c r="AA49" s="62"/>
      <c r="AB49" s="62"/>
    </row>
    <row r="50" spans="2:28" x14ac:dyDescent="0.25">
      <c r="B50" s="68"/>
      <c r="C50" s="64" t="s">
        <v>130</v>
      </c>
      <c r="D50" s="68">
        <v>27</v>
      </c>
      <c r="E50" s="68">
        <v>27</v>
      </c>
      <c r="F50" s="68">
        <v>48.6</v>
      </c>
      <c r="G50" s="68">
        <v>0</v>
      </c>
      <c r="H50" s="68">
        <v>0</v>
      </c>
      <c r="I50" s="68">
        <v>0</v>
      </c>
      <c r="J50" s="68">
        <v>0</v>
      </c>
      <c r="K50" s="68">
        <v>48.6</v>
      </c>
      <c r="L50" s="68">
        <v>48.6</v>
      </c>
      <c r="M50" s="68">
        <v>0</v>
      </c>
      <c r="N50" s="68">
        <v>0</v>
      </c>
      <c r="O50" s="63"/>
      <c r="Q50" s="62"/>
      <c r="R50" s="62"/>
      <c r="S50" s="62"/>
      <c r="T50" s="62"/>
      <c r="U50" s="62"/>
      <c r="V50" s="62"/>
      <c r="W50" s="62"/>
      <c r="X50" s="62"/>
      <c r="Y50" s="62"/>
      <c r="Z50" s="62"/>
      <c r="AA50" s="62"/>
      <c r="AB50" s="62"/>
    </row>
    <row r="51" spans="2:28" x14ac:dyDescent="0.25">
      <c r="B51" s="68"/>
      <c r="C51" s="64" t="s">
        <v>131</v>
      </c>
      <c r="D51" s="68">
        <v>0</v>
      </c>
      <c r="E51" s="68">
        <v>0</v>
      </c>
      <c r="F51" s="68">
        <v>0</v>
      </c>
      <c r="G51" s="68">
        <v>0</v>
      </c>
      <c r="H51" s="68">
        <v>0</v>
      </c>
      <c r="I51" s="68">
        <v>0</v>
      </c>
      <c r="J51" s="68">
        <v>0</v>
      </c>
      <c r="K51" s="68">
        <v>0</v>
      </c>
      <c r="L51" s="68">
        <v>0</v>
      </c>
      <c r="M51" s="68">
        <v>31.5</v>
      </c>
      <c r="N51" s="62">
        <v>0</v>
      </c>
      <c r="O51" s="63"/>
      <c r="Q51" s="62"/>
      <c r="R51" s="62"/>
      <c r="S51" s="62"/>
      <c r="T51" s="62"/>
      <c r="U51" s="62"/>
      <c r="V51" s="62"/>
      <c r="W51" s="62"/>
      <c r="X51" s="62"/>
      <c r="Y51" s="62"/>
      <c r="Z51" s="62"/>
      <c r="AA51" s="62"/>
      <c r="AB51" s="62"/>
    </row>
    <row r="52" spans="2:28" x14ac:dyDescent="0.25">
      <c r="B52" s="68"/>
      <c r="C52" s="64" t="s">
        <v>132</v>
      </c>
      <c r="D52" s="68">
        <v>0</v>
      </c>
      <c r="E52" s="68">
        <v>0</v>
      </c>
      <c r="F52" s="68">
        <v>0</v>
      </c>
      <c r="G52" s="68">
        <v>0</v>
      </c>
      <c r="H52" s="68">
        <v>0</v>
      </c>
      <c r="I52" s="68">
        <v>0</v>
      </c>
      <c r="J52" s="68">
        <v>0</v>
      </c>
      <c r="K52" s="68">
        <v>0</v>
      </c>
      <c r="L52" s="68">
        <v>0</v>
      </c>
      <c r="M52" s="68">
        <v>31.5</v>
      </c>
      <c r="N52" s="62">
        <v>0</v>
      </c>
      <c r="O52" s="63"/>
      <c r="Q52" s="62"/>
      <c r="R52" s="62"/>
      <c r="S52" s="62"/>
      <c r="T52" s="62"/>
      <c r="U52" s="62"/>
      <c r="V52" s="62"/>
      <c r="W52" s="62"/>
      <c r="X52" s="62"/>
      <c r="Y52" s="62"/>
      <c r="Z52" s="62"/>
      <c r="AA52" s="62"/>
      <c r="AB52" s="62"/>
    </row>
    <row r="53" spans="2:28" x14ac:dyDescent="0.25">
      <c r="B53" s="68"/>
      <c r="C53" s="64" t="s">
        <v>133</v>
      </c>
      <c r="D53" s="68">
        <v>0</v>
      </c>
      <c r="E53" s="68">
        <v>0</v>
      </c>
      <c r="F53" s="68">
        <v>0</v>
      </c>
      <c r="G53" s="68">
        <v>0</v>
      </c>
      <c r="H53" s="68">
        <v>0</v>
      </c>
      <c r="I53" s="68">
        <v>0</v>
      </c>
      <c r="J53" s="68">
        <v>0</v>
      </c>
      <c r="K53" s="68">
        <v>0</v>
      </c>
      <c r="L53" s="68">
        <v>0</v>
      </c>
      <c r="M53" s="68">
        <v>0</v>
      </c>
      <c r="N53" s="68">
        <v>7.1999999999999993</v>
      </c>
      <c r="O53" s="63"/>
      <c r="Q53" s="62"/>
      <c r="R53" s="62"/>
      <c r="S53" s="62"/>
      <c r="T53" s="62"/>
      <c r="U53" s="62"/>
      <c r="V53" s="62"/>
      <c r="W53" s="62"/>
      <c r="X53" s="62"/>
      <c r="Y53" s="62"/>
      <c r="Z53" s="62"/>
      <c r="AA53" s="62"/>
      <c r="AB53" s="62"/>
    </row>
    <row r="54" spans="2:28" x14ac:dyDescent="0.25">
      <c r="B54" s="68"/>
      <c r="C54" s="64" t="s">
        <v>134</v>
      </c>
      <c r="D54" s="68">
        <v>0</v>
      </c>
      <c r="E54" s="68">
        <v>0</v>
      </c>
      <c r="F54" s="68">
        <v>0</v>
      </c>
      <c r="G54" s="68">
        <v>0</v>
      </c>
      <c r="H54" s="68">
        <v>0</v>
      </c>
      <c r="I54" s="68">
        <v>0</v>
      </c>
      <c r="J54" s="68">
        <v>0</v>
      </c>
      <c r="K54" s="68">
        <v>0</v>
      </c>
      <c r="L54" s="68">
        <v>0</v>
      </c>
      <c r="M54" s="68">
        <v>0</v>
      </c>
      <c r="N54" s="68">
        <v>7.1999999999999993</v>
      </c>
      <c r="O54" s="63"/>
      <c r="Q54" s="62"/>
      <c r="R54" s="62"/>
      <c r="S54" s="62"/>
      <c r="T54" s="62"/>
      <c r="U54" s="62"/>
      <c r="V54" s="62"/>
      <c r="W54" s="62"/>
      <c r="X54" s="62"/>
      <c r="Y54" s="62"/>
      <c r="Z54" s="62"/>
      <c r="AA54" s="62"/>
      <c r="AB54" s="62"/>
    </row>
    <row r="55" spans="2:28" x14ac:dyDescent="0.25">
      <c r="B55" s="68"/>
      <c r="C55" s="64" t="s">
        <v>135</v>
      </c>
      <c r="D55" s="68">
        <v>0</v>
      </c>
      <c r="E55" s="68">
        <v>0</v>
      </c>
      <c r="F55" s="68">
        <v>0</v>
      </c>
      <c r="G55" s="68">
        <v>36</v>
      </c>
      <c r="H55" s="68">
        <v>36</v>
      </c>
      <c r="I55" s="68">
        <v>48.6</v>
      </c>
      <c r="J55" s="68">
        <v>48.6</v>
      </c>
      <c r="K55" s="68">
        <v>0</v>
      </c>
      <c r="L55" s="68">
        <v>0</v>
      </c>
      <c r="M55" s="68">
        <v>0</v>
      </c>
      <c r="N55" s="68">
        <v>0</v>
      </c>
      <c r="O55" s="63"/>
      <c r="Q55" s="62"/>
      <c r="R55" s="62"/>
      <c r="S55" s="62"/>
      <c r="T55" s="62"/>
      <c r="U55" s="62"/>
      <c r="V55" s="62"/>
      <c r="W55" s="62"/>
      <c r="X55" s="62"/>
      <c r="Y55" s="62"/>
      <c r="Z55" s="62"/>
      <c r="AA55" s="62"/>
      <c r="AB55" s="62"/>
    </row>
    <row r="56" spans="2:28" x14ac:dyDescent="0.25">
      <c r="B56" s="68"/>
      <c r="C56" s="64" t="s">
        <v>136</v>
      </c>
      <c r="D56" s="68">
        <v>0</v>
      </c>
      <c r="E56" s="68">
        <v>0</v>
      </c>
      <c r="F56" s="68">
        <v>0</v>
      </c>
      <c r="G56" s="68">
        <v>36</v>
      </c>
      <c r="H56" s="68">
        <v>36</v>
      </c>
      <c r="I56" s="68">
        <v>48.6</v>
      </c>
      <c r="J56" s="68">
        <v>48.6</v>
      </c>
      <c r="K56" s="68">
        <v>0</v>
      </c>
      <c r="L56" s="68">
        <v>0</v>
      </c>
      <c r="M56" s="68">
        <v>0</v>
      </c>
      <c r="N56" s="68">
        <v>0</v>
      </c>
      <c r="O56" s="63"/>
      <c r="Q56" s="62"/>
      <c r="R56" s="62"/>
      <c r="S56" s="62"/>
      <c r="T56" s="62"/>
      <c r="U56" s="62"/>
      <c r="V56" s="62"/>
      <c r="W56" s="62"/>
      <c r="X56" s="62"/>
      <c r="Y56" s="62"/>
      <c r="Z56" s="62"/>
      <c r="AA56" s="62"/>
      <c r="AB56" s="62"/>
    </row>
    <row r="57" spans="2:28" x14ac:dyDescent="0.25">
      <c r="B57" s="68"/>
      <c r="C57" s="64" t="s">
        <v>137</v>
      </c>
      <c r="D57" s="68">
        <v>0</v>
      </c>
      <c r="E57" s="68">
        <v>0</v>
      </c>
      <c r="F57" s="68">
        <v>0</v>
      </c>
      <c r="G57" s="68">
        <v>36</v>
      </c>
      <c r="H57" s="68">
        <v>36</v>
      </c>
      <c r="I57" s="68">
        <v>48.6</v>
      </c>
      <c r="J57" s="68">
        <v>48.6</v>
      </c>
      <c r="K57" s="68">
        <v>0</v>
      </c>
      <c r="L57" s="68">
        <v>0</v>
      </c>
      <c r="M57" s="68">
        <v>0</v>
      </c>
      <c r="N57" s="68">
        <v>0</v>
      </c>
      <c r="O57" s="63"/>
      <c r="Q57" s="62"/>
      <c r="R57" s="62"/>
      <c r="S57" s="62"/>
      <c r="T57" s="62"/>
      <c r="U57" s="62"/>
      <c r="V57" s="62"/>
      <c r="W57" s="62"/>
      <c r="X57" s="62"/>
      <c r="Y57" s="62"/>
      <c r="Z57" s="62"/>
      <c r="AA57" s="62"/>
      <c r="AB57" s="62"/>
    </row>
  </sheetData>
  <pageMargins left="0.70866141732283472" right="0.70866141732283472" top="0.74803149606299213" bottom="0.74803149606299213" header="0.31496062992125984" footer="0.31496062992125984"/>
  <pageSetup paperSize="9" scale="76"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P23"/>
  <sheetViews>
    <sheetView showZeros="0" workbookViewId="0">
      <selection activeCell="C29" sqref="C29"/>
    </sheetView>
  </sheetViews>
  <sheetFormatPr defaultRowHeight="15" x14ac:dyDescent="0.25"/>
  <cols>
    <col min="1" max="1" width="40.28515625" bestFit="1" customWidth="1"/>
    <col min="2" max="2" width="28.85546875" bestFit="1" customWidth="1"/>
    <col min="3" max="3" width="12.42578125" customWidth="1"/>
    <col min="4" max="4" width="14" bestFit="1" customWidth="1"/>
    <col min="5" max="5" width="11.28515625" customWidth="1"/>
    <col min="6" max="7" width="12.7109375" customWidth="1"/>
  </cols>
  <sheetData>
    <row r="1" spans="1:16" ht="23.25" x14ac:dyDescent="0.35">
      <c r="A1" s="30" t="s">
        <v>314</v>
      </c>
    </row>
    <row r="3" spans="1:16" x14ac:dyDescent="0.25">
      <c r="K3" s="69"/>
      <c r="L3" s="69"/>
      <c r="M3" s="69"/>
      <c r="N3" s="69"/>
      <c r="O3" s="69"/>
      <c r="P3" s="69"/>
    </row>
    <row r="4" spans="1:16" ht="15.75" thickBot="1" x14ac:dyDescent="0.3">
      <c r="B4" s="8" t="s">
        <v>316</v>
      </c>
      <c r="K4" s="69"/>
      <c r="L4" s="69"/>
      <c r="M4" s="64"/>
      <c r="N4" s="64"/>
      <c r="O4" s="64"/>
      <c r="P4" s="69"/>
    </row>
    <row r="5" spans="1:16" s="62" customFormat="1" x14ac:dyDescent="0.25">
      <c r="B5" s="32" t="s">
        <v>317</v>
      </c>
      <c r="C5" s="10" t="s">
        <v>319</v>
      </c>
      <c r="D5" s="200" t="s">
        <v>296</v>
      </c>
      <c r="E5" s="201"/>
      <c r="K5" s="69"/>
      <c r="L5" s="69"/>
      <c r="M5" s="64"/>
      <c r="N5" s="64"/>
      <c r="O5" s="64"/>
      <c r="P5" s="69"/>
    </row>
    <row r="6" spans="1:16" x14ac:dyDescent="0.25">
      <c r="B6" s="31" t="s">
        <v>318</v>
      </c>
      <c r="C6" s="159" t="s">
        <v>296</v>
      </c>
      <c r="D6" s="159" t="s">
        <v>171</v>
      </c>
      <c r="E6" s="160" t="s">
        <v>172</v>
      </c>
      <c r="K6" s="51"/>
      <c r="L6" s="39"/>
      <c r="M6" s="74"/>
      <c r="N6" s="74"/>
      <c r="O6" s="74"/>
      <c r="P6" s="69"/>
    </row>
    <row r="7" spans="1:16" ht="15.75" thickBot="1" x14ac:dyDescent="0.3">
      <c r="B7" s="158" t="s">
        <v>238</v>
      </c>
      <c r="C7" s="161">
        <v>1</v>
      </c>
      <c r="D7" s="161">
        <v>3</v>
      </c>
      <c r="E7" s="162">
        <v>2</v>
      </c>
      <c r="F7" s="25"/>
      <c r="G7" s="25"/>
      <c r="K7" s="51"/>
      <c r="L7" s="39"/>
      <c r="M7" s="74"/>
      <c r="N7" s="74"/>
      <c r="O7" s="74"/>
      <c r="P7" s="69"/>
    </row>
    <row r="8" spans="1:16" x14ac:dyDescent="0.25">
      <c r="B8" s="60"/>
      <c r="C8" s="41"/>
      <c r="D8" s="41"/>
      <c r="E8" s="41"/>
      <c r="F8" s="41"/>
      <c r="G8" s="41"/>
      <c r="K8" s="51"/>
      <c r="L8" s="39"/>
      <c r="M8" s="74"/>
      <c r="N8" s="74"/>
      <c r="O8" s="74"/>
      <c r="P8" s="69"/>
    </row>
    <row r="9" spans="1:16" x14ac:dyDescent="0.25">
      <c r="C9" s="32"/>
      <c r="D9" s="39"/>
      <c r="E9" s="25"/>
      <c r="F9" s="25"/>
      <c r="G9" s="25"/>
      <c r="K9" s="69"/>
      <c r="L9" s="69"/>
      <c r="M9" s="69"/>
      <c r="N9" s="69"/>
      <c r="O9" s="69"/>
      <c r="P9" s="69"/>
    </row>
    <row r="10" spans="1:16" ht="15.75" thickBot="1" x14ac:dyDescent="0.3">
      <c r="B10" s="8" t="s">
        <v>205</v>
      </c>
      <c r="C10" s="75"/>
      <c r="D10" s="83" t="s">
        <v>145</v>
      </c>
      <c r="E10" s="83" t="s">
        <v>171</v>
      </c>
      <c r="F10" s="83" t="s">
        <v>172</v>
      </c>
      <c r="K10" s="69"/>
      <c r="L10" s="69"/>
      <c r="M10" s="69"/>
      <c r="N10" s="69"/>
      <c r="O10" s="69"/>
      <c r="P10" s="69"/>
    </row>
    <row r="11" spans="1:16" ht="15.75" thickTop="1" x14ac:dyDescent="0.25">
      <c r="B11" s="60" t="s">
        <v>230</v>
      </c>
      <c r="C11" s="82" t="s">
        <v>128</v>
      </c>
      <c r="D11" s="77">
        <v>10</v>
      </c>
      <c r="E11" s="77">
        <v>10</v>
      </c>
      <c r="F11" s="77">
        <v>9</v>
      </c>
    </row>
    <row r="12" spans="1:16" x14ac:dyDescent="0.25">
      <c r="B12" s="60" t="s">
        <v>210</v>
      </c>
      <c r="C12" s="82" t="s">
        <v>129</v>
      </c>
      <c r="D12" s="77">
        <v>10</v>
      </c>
      <c r="E12" s="77">
        <v>10</v>
      </c>
      <c r="F12" s="77">
        <v>9</v>
      </c>
    </row>
    <row r="13" spans="1:16" x14ac:dyDescent="0.25">
      <c r="C13" s="82" t="s">
        <v>130</v>
      </c>
      <c r="D13" s="77">
        <v>10</v>
      </c>
      <c r="E13" s="77">
        <v>10</v>
      </c>
      <c r="F13" s="77">
        <v>9</v>
      </c>
    </row>
    <row r="14" spans="1:16" x14ac:dyDescent="0.25">
      <c r="C14" s="82" t="s">
        <v>131</v>
      </c>
      <c r="D14" s="77">
        <v>5</v>
      </c>
      <c r="E14" s="77">
        <v>6</v>
      </c>
      <c r="F14" s="77">
        <v>8</v>
      </c>
    </row>
    <row r="15" spans="1:16" x14ac:dyDescent="0.25">
      <c r="C15" s="82" t="s">
        <v>132</v>
      </c>
      <c r="D15" s="77">
        <v>5</v>
      </c>
      <c r="E15" s="77">
        <v>6</v>
      </c>
      <c r="F15" s="77">
        <v>8</v>
      </c>
    </row>
    <row r="16" spans="1:16" x14ac:dyDescent="0.25">
      <c r="C16" s="82" t="s">
        <v>133</v>
      </c>
      <c r="D16" s="77">
        <v>4</v>
      </c>
      <c r="E16" s="77">
        <v>4</v>
      </c>
      <c r="F16" s="77">
        <v>4</v>
      </c>
    </row>
    <row r="17" spans="2:6" x14ac:dyDescent="0.25">
      <c r="C17" s="82" t="s">
        <v>134</v>
      </c>
      <c r="D17" s="77">
        <v>4</v>
      </c>
      <c r="E17" s="77">
        <v>4</v>
      </c>
      <c r="F17" s="77">
        <v>4</v>
      </c>
    </row>
    <row r="18" spans="2:6" x14ac:dyDescent="0.25">
      <c r="C18" s="82" t="s">
        <v>135</v>
      </c>
      <c r="D18" s="77">
        <v>10</v>
      </c>
      <c r="E18" s="77">
        <v>10</v>
      </c>
      <c r="F18" s="77">
        <v>9</v>
      </c>
    </row>
    <row r="19" spans="2:6" x14ac:dyDescent="0.25">
      <c r="C19" s="82" t="s">
        <v>136</v>
      </c>
      <c r="D19" s="77">
        <v>10</v>
      </c>
      <c r="E19" s="77">
        <v>10</v>
      </c>
      <c r="F19" s="77">
        <v>9</v>
      </c>
    </row>
    <row r="20" spans="2:6" x14ac:dyDescent="0.25">
      <c r="C20" s="82" t="s">
        <v>137</v>
      </c>
      <c r="D20" s="77">
        <v>10</v>
      </c>
      <c r="E20" s="77">
        <v>10</v>
      </c>
      <c r="F20" s="77">
        <v>9</v>
      </c>
    </row>
    <row r="23" spans="2:6" x14ac:dyDescent="0.25"/>
  </sheetData>
  <mergeCells count="1">
    <mergeCell ref="D5:E5"/>
  </mergeCells>
  <pageMargins left="0.70866141732283472" right="0.70866141732283472" top="0.74803149606299213" bottom="0.74803149606299213" header="0.31496062992125984" footer="0.31496062992125984"/>
  <pageSetup paperSize="9" scale="64" orientation="landscape"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B1:P21"/>
  <sheetViews>
    <sheetView workbookViewId="0">
      <selection activeCell="N9" sqref="N9"/>
    </sheetView>
  </sheetViews>
  <sheetFormatPr defaultRowHeight="15" x14ac:dyDescent="0.25"/>
  <cols>
    <col min="2" max="2" width="13.42578125" style="7" bestFit="1" customWidth="1"/>
    <col min="3" max="3" width="24" style="28" bestFit="1" customWidth="1"/>
    <col min="4" max="4" width="13.42578125" style="28" customWidth="1"/>
    <col min="5" max="14" width="8.85546875" style="7"/>
  </cols>
  <sheetData>
    <row r="1" spans="2:16" ht="23.25" x14ac:dyDescent="0.35">
      <c r="B1" s="37" t="s">
        <v>168</v>
      </c>
      <c r="C1" s="34"/>
      <c r="D1" s="34"/>
    </row>
    <row r="3" spans="2:16" s="36" customFormat="1" ht="18.75" x14ac:dyDescent="0.3">
      <c r="B3" s="61"/>
      <c r="C3" s="61"/>
      <c r="D3" s="61"/>
      <c r="E3" s="61"/>
      <c r="F3" s="61"/>
      <c r="G3" s="61"/>
      <c r="H3" s="61"/>
      <c r="I3" s="61"/>
      <c r="J3" s="61"/>
      <c r="K3" s="61"/>
      <c r="L3" s="61"/>
      <c r="M3" s="61"/>
      <c r="N3" s="61"/>
    </row>
    <row r="4" spans="2:16" x14ac:dyDescent="0.25">
      <c r="B4" s="64"/>
      <c r="C4" s="8" t="s">
        <v>233</v>
      </c>
      <c r="D4" s="21">
        <v>1</v>
      </c>
      <c r="E4" s="21">
        <v>2</v>
      </c>
      <c r="F4" s="21">
        <v>3</v>
      </c>
      <c r="G4" s="21">
        <v>4</v>
      </c>
      <c r="H4" s="21">
        <v>5</v>
      </c>
      <c r="I4" s="21">
        <v>6</v>
      </c>
      <c r="J4" s="64">
        <v>7</v>
      </c>
      <c r="K4" s="64">
        <v>8</v>
      </c>
      <c r="L4" s="64">
        <v>9</v>
      </c>
      <c r="M4" s="64">
        <v>10</v>
      </c>
      <c r="N4" s="64">
        <v>11</v>
      </c>
      <c r="O4" s="64">
        <v>12</v>
      </c>
    </row>
    <row r="5" spans="2:16" x14ac:dyDescent="0.25">
      <c r="B5" s="8"/>
      <c r="C5" s="8" t="s">
        <v>262</v>
      </c>
      <c r="D5" s="41">
        <v>7</v>
      </c>
      <c r="E5" s="41">
        <v>7</v>
      </c>
      <c r="F5" s="41">
        <v>7</v>
      </c>
      <c r="G5" s="41">
        <v>7</v>
      </c>
      <c r="H5" s="41">
        <v>7</v>
      </c>
      <c r="I5" s="41">
        <v>7</v>
      </c>
      <c r="J5" s="74">
        <v>7</v>
      </c>
      <c r="K5" s="74">
        <v>7</v>
      </c>
      <c r="L5" s="74">
        <v>7</v>
      </c>
      <c r="M5" s="74">
        <v>7</v>
      </c>
      <c r="N5" s="74">
        <v>7</v>
      </c>
      <c r="O5" s="74">
        <v>7</v>
      </c>
    </row>
    <row r="6" spans="2:16" x14ac:dyDescent="0.25">
      <c r="B6" s="72"/>
    </row>
    <row r="7" spans="2:16" x14ac:dyDescent="0.25">
      <c r="B7" s="72"/>
    </row>
    <row r="8" spans="2:16" ht="16.5" thickBot="1" x14ac:dyDescent="0.3">
      <c r="B8" s="72"/>
      <c r="C8" s="8" t="s">
        <v>231</v>
      </c>
      <c r="D8" s="84"/>
      <c r="E8" s="85">
        <v>1</v>
      </c>
      <c r="F8" s="85">
        <v>2</v>
      </c>
      <c r="G8" s="85">
        <v>3</v>
      </c>
      <c r="H8" s="85">
        <v>4</v>
      </c>
      <c r="I8" s="85">
        <v>5</v>
      </c>
      <c r="J8" s="85">
        <v>6</v>
      </c>
      <c r="K8" s="85">
        <v>7</v>
      </c>
      <c r="L8" s="85">
        <v>8</v>
      </c>
      <c r="M8" s="85">
        <v>9</v>
      </c>
      <c r="N8" s="85">
        <v>10</v>
      </c>
      <c r="O8" s="85">
        <v>11</v>
      </c>
      <c r="P8" s="85">
        <v>12</v>
      </c>
    </row>
    <row r="9" spans="2:16" ht="15.75" thickTop="1" x14ac:dyDescent="0.25">
      <c r="B9" s="72"/>
      <c r="C9" s="8" t="s">
        <v>232</v>
      </c>
      <c r="D9" s="86" t="s">
        <v>245</v>
      </c>
      <c r="E9" s="87">
        <v>1</v>
      </c>
      <c r="F9" s="87">
        <v>1</v>
      </c>
      <c r="G9" s="87">
        <v>1</v>
      </c>
      <c r="H9" s="108">
        <v>0</v>
      </c>
      <c r="I9" s="87">
        <v>1</v>
      </c>
      <c r="J9" s="87">
        <v>1</v>
      </c>
      <c r="K9" s="87">
        <v>1</v>
      </c>
      <c r="L9" s="87">
        <v>1</v>
      </c>
      <c r="M9" s="87">
        <v>1</v>
      </c>
      <c r="N9" s="108">
        <v>0</v>
      </c>
      <c r="O9" s="87">
        <v>1</v>
      </c>
      <c r="P9" s="87">
        <v>1</v>
      </c>
    </row>
    <row r="10" spans="2:16" x14ac:dyDescent="0.25">
      <c r="B10" s="72"/>
      <c r="D10" s="86" t="s">
        <v>247</v>
      </c>
      <c r="E10" s="87">
        <v>1</v>
      </c>
      <c r="F10" s="87">
        <v>1</v>
      </c>
      <c r="G10" s="87">
        <v>1</v>
      </c>
      <c r="H10" s="87">
        <v>1</v>
      </c>
      <c r="I10" s="87">
        <v>1</v>
      </c>
      <c r="J10" s="87">
        <v>1</v>
      </c>
      <c r="K10" s="87">
        <v>1</v>
      </c>
      <c r="L10" s="87">
        <v>1</v>
      </c>
      <c r="M10" s="87">
        <v>1</v>
      </c>
      <c r="N10" s="87">
        <v>1</v>
      </c>
      <c r="O10" s="87">
        <v>1</v>
      </c>
      <c r="P10" s="87">
        <v>1</v>
      </c>
    </row>
    <row r="11" spans="2:16" x14ac:dyDescent="0.25">
      <c r="B11" s="72"/>
      <c r="D11" s="86" t="s">
        <v>248</v>
      </c>
      <c r="E11" s="87">
        <v>1</v>
      </c>
      <c r="F11" s="87">
        <v>1</v>
      </c>
      <c r="G11" s="87">
        <v>1</v>
      </c>
      <c r="H11" s="87">
        <v>1</v>
      </c>
      <c r="I11" s="87">
        <v>1</v>
      </c>
      <c r="J11" s="87">
        <v>1</v>
      </c>
      <c r="K11" s="87">
        <v>1</v>
      </c>
      <c r="L11" s="87">
        <v>1</v>
      </c>
      <c r="M11" s="87">
        <v>1</v>
      </c>
      <c r="N11" s="87">
        <v>1</v>
      </c>
      <c r="O11" s="87">
        <v>1</v>
      </c>
      <c r="P11" s="87">
        <v>1</v>
      </c>
    </row>
    <row r="12" spans="2:16" x14ac:dyDescent="0.25">
      <c r="B12" s="72"/>
      <c r="D12" s="86" t="s">
        <v>249</v>
      </c>
      <c r="E12" s="87">
        <v>1</v>
      </c>
      <c r="F12" s="87">
        <v>1</v>
      </c>
      <c r="G12" s="87">
        <v>1</v>
      </c>
      <c r="H12" s="87">
        <v>1</v>
      </c>
      <c r="I12" s="87">
        <v>1</v>
      </c>
      <c r="J12" s="87">
        <v>1</v>
      </c>
      <c r="K12" s="87">
        <v>1</v>
      </c>
      <c r="L12" s="87">
        <v>1</v>
      </c>
      <c r="M12" s="87">
        <v>1</v>
      </c>
      <c r="N12" s="87">
        <v>1</v>
      </c>
      <c r="O12" s="87">
        <v>1</v>
      </c>
      <c r="P12" s="87">
        <v>1</v>
      </c>
    </row>
    <row r="13" spans="2:16" x14ac:dyDescent="0.25">
      <c r="B13" s="72"/>
      <c r="D13" s="86" t="s">
        <v>250</v>
      </c>
      <c r="E13" s="87">
        <v>1</v>
      </c>
      <c r="F13" s="87">
        <v>1</v>
      </c>
      <c r="G13" s="87">
        <v>1</v>
      </c>
      <c r="H13" s="87">
        <v>1</v>
      </c>
      <c r="I13" s="87">
        <v>1</v>
      </c>
      <c r="J13" s="87">
        <v>1</v>
      </c>
      <c r="K13" s="87">
        <v>1</v>
      </c>
      <c r="L13" s="87">
        <v>1</v>
      </c>
      <c r="M13" s="87">
        <v>1</v>
      </c>
      <c r="N13" s="87">
        <v>1</v>
      </c>
      <c r="O13" s="87">
        <v>1</v>
      </c>
      <c r="P13" s="87">
        <v>1</v>
      </c>
    </row>
    <row r="14" spans="2:16" x14ac:dyDescent="0.25">
      <c r="B14" s="72"/>
      <c r="D14" s="86" t="s">
        <v>251</v>
      </c>
      <c r="E14" s="87">
        <v>1</v>
      </c>
      <c r="F14" s="87">
        <v>1</v>
      </c>
      <c r="G14" s="87">
        <v>1</v>
      </c>
      <c r="H14" s="87">
        <v>1</v>
      </c>
      <c r="I14" s="87">
        <v>1</v>
      </c>
      <c r="J14" s="87">
        <v>1</v>
      </c>
      <c r="K14" s="87">
        <v>1</v>
      </c>
      <c r="L14" s="87">
        <v>1</v>
      </c>
      <c r="M14" s="87">
        <v>1</v>
      </c>
      <c r="N14" s="87">
        <v>1</v>
      </c>
      <c r="O14" s="87">
        <v>1</v>
      </c>
      <c r="P14" s="87">
        <v>1</v>
      </c>
    </row>
    <row r="15" spans="2:16" x14ac:dyDescent="0.25">
      <c r="B15" s="72"/>
      <c r="D15" s="86" t="s">
        <v>252</v>
      </c>
      <c r="E15" s="87">
        <v>1</v>
      </c>
      <c r="F15" s="87">
        <v>1</v>
      </c>
      <c r="G15" s="87">
        <v>1</v>
      </c>
      <c r="H15" s="87">
        <v>1</v>
      </c>
      <c r="I15" s="87">
        <v>1</v>
      </c>
      <c r="J15" s="87">
        <v>1</v>
      </c>
      <c r="K15" s="87">
        <v>1</v>
      </c>
      <c r="L15" s="87">
        <v>1</v>
      </c>
      <c r="M15" s="87">
        <v>1</v>
      </c>
      <c r="N15" s="87">
        <v>1</v>
      </c>
      <c r="O15" s="87">
        <v>1</v>
      </c>
      <c r="P15" s="87">
        <v>1</v>
      </c>
    </row>
    <row r="16" spans="2:16" x14ac:dyDescent="0.25">
      <c r="B16" s="72"/>
      <c r="D16" s="86" t="s">
        <v>253</v>
      </c>
      <c r="E16" s="87">
        <v>1</v>
      </c>
      <c r="F16" s="87">
        <v>1</v>
      </c>
      <c r="G16" s="87">
        <v>1</v>
      </c>
      <c r="H16" s="87">
        <v>1</v>
      </c>
      <c r="I16" s="87">
        <v>1</v>
      </c>
      <c r="J16" s="87">
        <v>1</v>
      </c>
      <c r="K16" s="87">
        <v>1</v>
      </c>
      <c r="L16" s="87">
        <v>1</v>
      </c>
      <c r="M16" s="87">
        <v>1</v>
      </c>
      <c r="N16" s="87">
        <v>1</v>
      </c>
      <c r="O16" s="87">
        <v>1</v>
      </c>
      <c r="P16" s="87">
        <v>1</v>
      </c>
    </row>
    <row r="17" spans="2:16" x14ac:dyDescent="0.25">
      <c r="B17" s="8"/>
      <c r="D17" s="86" t="s">
        <v>254</v>
      </c>
      <c r="E17" s="87">
        <v>1</v>
      </c>
      <c r="F17" s="87">
        <v>1</v>
      </c>
      <c r="G17" s="87">
        <v>1</v>
      </c>
      <c r="H17" s="87">
        <v>1</v>
      </c>
      <c r="I17" s="87">
        <v>1</v>
      </c>
      <c r="J17" s="87">
        <v>1</v>
      </c>
      <c r="K17" s="87">
        <v>1</v>
      </c>
      <c r="L17" s="87">
        <v>1</v>
      </c>
      <c r="M17" s="87">
        <v>1</v>
      </c>
      <c r="N17" s="87">
        <v>1</v>
      </c>
      <c r="O17" s="87">
        <v>1</v>
      </c>
      <c r="P17" s="87">
        <v>1</v>
      </c>
    </row>
    <row r="18" spans="2:16" x14ac:dyDescent="0.25">
      <c r="D18" s="86" t="s">
        <v>255</v>
      </c>
      <c r="E18" s="87">
        <v>1</v>
      </c>
      <c r="F18" s="87">
        <v>1</v>
      </c>
      <c r="G18" s="87">
        <v>1</v>
      </c>
      <c r="H18" s="87">
        <v>1</v>
      </c>
      <c r="I18" s="87">
        <v>1</v>
      </c>
      <c r="J18" s="87">
        <v>1</v>
      </c>
      <c r="K18" s="87">
        <v>1</v>
      </c>
      <c r="L18" s="87">
        <v>1</v>
      </c>
      <c r="M18" s="87">
        <v>1</v>
      </c>
      <c r="N18" s="87">
        <v>1</v>
      </c>
      <c r="O18" s="87">
        <v>1</v>
      </c>
      <c r="P18" s="87">
        <v>1</v>
      </c>
    </row>
    <row r="19" spans="2:16" x14ac:dyDescent="0.25">
      <c r="D19" s="86" t="s">
        <v>256</v>
      </c>
      <c r="E19" s="87">
        <v>1</v>
      </c>
      <c r="F19" s="87">
        <v>1</v>
      </c>
      <c r="G19" s="87">
        <v>1</v>
      </c>
      <c r="H19" s="87">
        <v>1</v>
      </c>
      <c r="I19" s="87">
        <v>1</v>
      </c>
      <c r="J19" s="87">
        <v>1</v>
      </c>
      <c r="K19" s="87">
        <v>1</v>
      </c>
      <c r="L19" s="87">
        <v>1</v>
      </c>
      <c r="M19" s="87">
        <v>1</v>
      </c>
      <c r="N19" s="87">
        <v>1</v>
      </c>
      <c r="O19" s="87">
        <v>1</v>
      </c>
      <c r="P19" s="87">
        <v>1</v>
      </c>
    </row>
    <row r="20" spans="2:16" x14ac:dyDescent="0.25">
      <c r="N20" s="27"/>
    </row>
    <row r="21" spans="2:16" x14ac:dyDescent="0.25">
      <c r="N21" s="27"/>
    </row>
  </sheetData>
  <pageMargins left="0.70866141732283472" right="0.70866141732283472" top="0.74803149606299213" bottom="0.74803149606299213" header="0.31496062992125984" footer="0.31496062992125984"/>
  <pageSetup paperSize="9" scale="78"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R153"/>
  <sheetViews>
    <sheetView topLeftCell="A111" workbookViewId="0">
      <selection activeCell="F151" sqref="F151"/>
    </sheetView>
  </sheetViews>
  <sheetFormatPr defaultRowHeight="15" x14ac:dyDescent="0.25"/>
  <cols>
    <col min="2" max="2" width="13.42578125" style="7" bestFit="1" customWidth="1"/>
    <col min="3" max="3" width="4.7109375" style="28" bestFit="1" customWidth="1"/>
    <col min="4" max="4" width="23.7109375" style="28" customWidth="1"/>
    <col min="5" max="14" width="8.85546875" style="7"/>
  </cols>
  <sheetData>
    <row r="1" spans="2:18" ht="23.25" x14ac:dyDescent="0.35">
      <c r="B1" s="37" t="s">
        <v>173</v>
      </c>
      <c r="C1" s="34"/>
      <c r="D1" s="34"/>
    </row>
    <row r="3" spans="2:18" s="36" customFormat="1" ht="19.5" thickBot="1" x14ac:dyDescent="0.35">
      <c r="B3" s="35"/>
      <c r="C3" s="35"/>
      <c r="D3" s="35"/>
      <c r="E3" s="35"/>
      <c r="F3" s="35"/>
      <c r="G3" s="35"/>
      <c r="H3" s="35"/>
      <c r="I3" s="35"/>
      <c r="J3" s="35"/>
      <c r="K3" s="35"/>
      <c r="L3" s="35"/>
      <c r="M3" s="35"/>
      <c r="N3" s="35"/>
    </row>
    <row r="4" spans="2:18" ht="15.75" thickTop="1" x14ac:dyDescent="0.25">
      <c r="B4" s="8"/>
    </row>
    <row r="5" spans="2:18" x14ac:dyDescent="0.25">
      <c r="B5" s="8"/>
    </row>
    <row r="6" spans="2:18" x14ac:dyDescent="0.25">
      <c r="B6" s="38" t="s">
        <v>169</v>
      </c>
    </row>
    <row r="7" spans="2:18" ht="15.75" thickBot="1" x14ac:dyDescent="0.3">
      <c r="B7" s="8" t="s">
        <v>97</v>
      </c>
      <c r="E7" s="28"/>
      <c r="F7" s="55">
        <v>1</v>
      </c>
      <c r="G7" s="55">
        <v>2</v>
      </c>
      <c r="H7" s="55">
        <v>3</v>
      </c>
      <c r="I7" s="55">
        <v>4</v>
      </c>
      <c r="J7" s="55">
        <v>5</v>
      </c>
      <c r="K7" s="55">
        <v>6</v>
      </c>
      <c r="L7" s="55">
        <v>7</v>
      </c>
      <c r="M7" s="55">
        <v>8</v>
      </c>
      <c r="N7" s="55">
        <v>9</v>
      </c>
      <c r="O7" s="55">
        <v>10</v>
      </c>
      <c r="P7" s="55">
        <v>11</v>
      </c>
      <c r="Q7" s="55">
        <v>12</v>
      </c>
    </row>
    <row r="8" spans="2:18" s="88" customFormat="1" ht="15" customHeight="1" x14ac:dyDescent="0.25">
      <c r="B8" s="98" t="s">
        <v>210</v>
      </c>
      <c r="C8" s="96"/>
      <c r="D8" s="99" t="s">
        <v>226</v>
      </c>
      <c r="E8" s="100" t="s">
        <v>128</v>
      </c>
      <c r="F8" s="169">
        <v>3</v>
      </c>
      <c r="G8" s="169">
        <v>9</v>
      </c>
      <c r="H8" s="169">
        <v>8</v>
      </c>
      <c r="I8" s="169">
        <v>2</v>
      </c>
      <c r="J8" s="169">
        <v>0</v>
      </c>
      <c r="K8" s="170">
        <v>7</v>
      </c>
      <c r="L8" s="169">
        <v>3</v>
      </c>
      <c r="M8" s="169">
        <v>9</v>
      </c>
      <c r="N8" s="169">
        <v>8</v>
      </c>
      <c r="O8" s="169">
        <v>2</v>
      </c>
      <c r="P8" s="169">
        <v>0</v>
      </c>
      <c r="Q8" s="170">
        <v>7</v>
      </c>
      <c r="R8" s="89"/>
    </row>
    <row r="9" spans="2:18" s="88" customFormat="1" x14ac:dyDescent="0.25">
      <c r="B9" s="95"/>
      <c r="C9" s="97"/>
      <c r="D9" s="99" t="s">
        <v>226</v>
      </c>
      <c r="E9" s="101" t="s">
        <v>129</v>
      </c>
      <c r="F9" s="171">
        <v>4</v>
      </c>
      <c r="G9" s="171">
        <v>2</v>
      </c>
      <c r="H9" s="171">
        <v>6</v>
      </c>
      <c r="I9" s="171">
        <v>6</v>
      </c>
      <c r="J9" s="171">
        <v>1</v>
      </c>
      <c r="K9" s="172">
        <v>3</v>
      </c>
      <c r="L9" s="171">
        <v>4</v>
      </c>
      <c r="M9" s="171">
        <v>2</v>
      </c>
      <c r="N9" s="171">
        <v>6</v>
      </c>
      <c r="O9" s="171">
        <v>6</v>
      </c>
      <c r="P9" s="171">
        <v>1</v>
      </c>
      <c r="Q9" s="172">
        <v>3</v>
      </c>
    </row>
    <row r="10" spans="2:18" s="88" customFormat="1" x14ac:dyDescent="0.25">
      <c r="B10" s="95"/>
      <c r="C10" s="97"/>
      <c r="D10" s="99" t="s">
        <v>226</v>
      </c>
      <c r="E10" s="101" t="s">
        <v>130</v>
      </c>
      <c r="F10" s="171">
        <v>4</v>
      </c>
      <c r="G10" s="171">
        <v>0</v>
      </c>
      <c r="H10" s="171">
        <v>7</v>
      </c>
      <c r="I10" s="171">
        <v>8</v>
      </c>
      <c r="J10" s="171">
        <v>6</v>
      </c>
      <c r="K10" s="172">
        <v>7</v>
      </c>
      <c r="L10" s="171">
        <v>4</v>
      </c>
      <c r="M10" s="171">
        <v>0</v>
      </c>
      <c r="N10" s="171">
        <v>7</v>
      </c>
      <c r="O10" s="171">
        <v>8</v>
      </c>
      <c r="P10" s="171">
        <v>6</v>
      </c>
      <c r="Q10" s="172">
        <v>7</v>
      </c>
    </row>
    <row r="11" spans="2:18" s="88" customFormat="1" x14ac:dyDescent="0.25">
      <c r="B11" s="95"/>
      <c r="C11" s="97"/>
      <c r="D11" s="99" t="s">
        <v>226</v>
      </c>
      <c r="E11" s="101" t="s">
        <v>131</v>
      </c>
      <c r="F11" s="171">
        <v>5</v>
      </c>
      <c r="G11" s="171">
        <v>9</v>
      </c>
      <c r="H11" s="171">
        <v>2</v>
      </c>
      <c r="I11" s="171">
        <v>1</v>
      </c>
      <c r="J11" s="171">
        <v>0</v>
      </c>
      <c r="K11" s="172">
        <v>9</v>
      </c>
      <c r="L11" s="171">
        <v>5</v>
      </c>
      <c r="M11" s="171">
        <v>9</v>
      </c>
      <c r="N11" s="171">
        <v>2</v>
      </c>
      <c r="O11" s="171">
        <v>1</v>
      </c>
      <c r="P11" s="171">
        <v>0</v>
      </c>
      <c r="Q11" s="172">
        <v>9</v>
      </c>
    </row>
    <row r="12" spans="2:18" s="88" customFormat="1" x14ac:dyDescent="0.25">
      <c r="B12" s="95"/>
      <c r="C12" s="97"/>
      <c r="D12" s="99" t="s">
        <v>226</v>
      </c>
      <c r="E12" s="101" t="s">
        <v>132</v>
      </c>
      <c r="F12" s="171">
        <v>2</v>
      </c>
      <c r="G12" s="171">
        <v>4</v>
      </c>
      <c r="H12" s="171">
        <v>0</v>
      </c>
      <c r="I12" s="171">
        <v>5</v>
      </c>
      <c r="J12" s="171">
        <v>6</v>
      </c>
      <c r="K12" s="172">
        <v>5</v>
      </c>
      <c r="L12" s="171">
        <v>2</v>
      </c>
      <c r="M12" s="171">
        <v>4</v>
      </c>
      <c r="N12" s="171">
        <v>0</v>
      </c>
      <c r="O12" s="171">
        <v>5</v>
      </c>
      <c r="P12" s="171">
        <v>6</v>
      </c>
      <c r="Q12" s="172">
        <v>5</v>
      </c>
    </row>
    <row r="13" spans="2:18" s="88" customFormat="1" x14ac:dyDescent="0.25">
      <c r="B13" s="95"/>
      <c r="C13" s="97"/>
      <c r="D13" s="99" t="s">
        <v>226</v>
      </c>
      <c r="E13" s="101" t="s">
        <v>133</v>
      </c>
      <c r="F13" s="171">
        <v>9</v>
      </c>
      <c r="G13" s="171">
        <v>7</v>
      </c>
      <c r="H13" s="171">
        <v>1</v>
      </c>
      <c r="I13" s="171">
        <v>4</v>
      </c>
      <c r="J13" s="171">
        <v>5</v>
      </c>
      <c r="K13" s="172">
        <v>9</v>
      </c>
      <c r="L13" s="171">
        <v>9</v>
      </c>
      <c r="M13" s="171">
        <v>7</v>
      </c>
      <c r="N13" s="171">
        <v>1</v>
      </c>
      <c r="O13" s="171">
        <v>4</v>
      </c>
      <c r="P13" s="171">
        <v>5</v>
      </c>
      <c r="Q13" s="172">
        <v>9</v>
      </c>
    </row>
    <row r="14" spans="2:18" s="88" customFormat="1" x14ac:dyDescent="0.25">
      <c r="B14" s="95"/>
      <c r="C14" s="97"/>
      <c r="D14" s="99" t="s">
        <v>226</v>
      </c>
      <c r="E14" s="101" t="s">
        <v>134</v>
      </c>
      <c r="F14" s="171">
        <v>1</v>
      </c>
      <c r="G14" s="171">
        <v>6</v>
      </c>
      <c r="H14" s="171">
        <v>5</v>
      </c>
      <c r="I14" s="171">
        <v>2</v>
      </c>
      <c r="J14" s="171">
        <v>4</v>
      </c>
      <c r="K14" s="172">
        <v>9</v>
      </c>
      <c r="L14" s="171">
        <v>1</v>
      </c>
      <c r="M14" s="171">
        <v>6</v>
      </c>
      <c r="N14" s="171">
        <v>5</v>
      </c>
      <c r="O14" s="171">
        <v>2</v>
      </c>
      <c r="P14" s="171">
        <v>4</v>
      </c>
      <c r="Q14" s="172">
        <v>9</v>
      </c>
    </row>
    <row r="15" spans="2:18" s="88" customFormat="1" x14ac:dyDescent="0.25">
      <c r="B15" s="95"/>
      <c r="C15" s="97"/>
      <c r="D15" s="99" t="s">
        <v>226</v>
      </c>
      <c r="E15" s="101" t="s">
        <v>135</v>
      </c>
      <c r="F15" s="171">
        <v>7</v>
      </c>
      <c r="G15" s="171">
        <v>6</v>
      </c>
      <c r="H15" s="171">
        <v>4</v>
      </c>
      <c r="I15" s="171">
        <v>6</v>
      </c>
      <c r="J15" s="171">
        <v>3</v>
      </c>
      <c r="K15" s="172">
        <v>9</v>
      </c>
      <c r="L15" s="171">
        <v>7</v>
      </c>
      <c r="M15" s="171">
        <v>6</v>
      </c>
      <c r="N15" s="171">
        <v>4</v>
      </c>
      <c r="O15" s="171">
        <v>6</v>
      </c>
      <c r="P15" s="171">
        <v>3</v>
      </c>
      <c r="Q15" s="172">
        <v>9</v>
      </c>
    </row>
    <row r="16" spans="2:18" s="88" customFormat="1" x14ac:dyDescent="0.25">
      <c r="B16" s="95"/>
      <c r="C16" s="97"/>
      <c r="D16" s="99" t="s">
        <v>226</v>
      </c>
      <c r="E16" s="101" t="s">
        <v>136</v>
      </c>
      <c r="F16" s="171">
        <v>9</v>
      </c>
      <c r="G16" s="171">
        <v>2</v>
      </c>
      <c r="H16" s="171">
        <v>0</v>
      </c>
      <c r="I16" s="171">
        <v>4</v>
      </c>
      <c r="J16" s="171">
        <v>9</v>
      </c>
      <c r="K16" s="172">
        <v>8</v>
      </c>
      <c r="L16" s="171">
        <v>9</v>
      </c>
      <c r="M16" s="171">
        <v>2</v>
      </c>
      <c r="N16" s="171">
        <v>0</v>
      </c>
      <c r="O16" s="171">
        <v>4</v>
      </c>
      <c r="P16" s="171">
        <v>9</v>
      </c>
      <c r="Q16" s="172">
        <v>8</v>
      </c>
    </row>
    <row r="17" spans="2:17" s="88" customFormat="1" ht="15.75" thickBot="1" x14ac:dyDescent="0.3">
      <c r="B17" s="95"/>
      <c r="C17" s="97"/>
      <c r="D17" s="99" t="s">
        <v>226</v>
      </c>
      <c r="E17" s="102" t="s">
        <v>137</v>
      </c>
      <c r="F17" s="173">
        <v>6</v>
      </c>
      <c r="G17" s="173">
        <v>8</v>
      </c>
      <c r="H17" s="173">
        <v>6</v>
      </c>
      <c r="I17" s="173">
        <v>9</v>
      </c>
      <c r="J17" s="173">
        <v>8</v>
      </c>
      <c r="K17" s="174">
        <v>4</v>
      </c>
      <c r="L17" s="173">
        <v>6</v>
      </c>
      <c r="M17" s="173">
        <v>8</v>
      </c>
      <c r="N17" s="173">
        <v>6</v>
      </c>
      <c r="O17" s="173">
        <v>9</v>
      </c>
      <c r="P17" s="173">
        <v>8</v>
      </c>
      <c r="Q17" s="174">
        <v>4</v>
      </c>
    </row>
    <row r="18" spans="2:17" s="88" customFormat="1" x14ac:dyDescent="0.25">
      <c r="B18" s="89"/>
      <c r="C18" s="90"/>
      <c r="D18" s="99" t="s">
        <v>221</v>
      </c>
      <c r="E18" s="100" t="s">
        <v>128</v>
      </c>
      <c r="F18" s="169">
        <v>3</v>
      </c>
      <c r="G18" s="169">
        <v>9</v>
      </c>
      <c r="H18" s="169">
        <v>8</v>
      </c>
      <c r="I18" s="169">
        <v>2</v>
      </c>
      <c r="J18" s="169">
        <v>0</v>
      </c>
      <c r="K18" s="170">
        <v>7</v>
      </c>
      <c r="L18" s="169">
        <v>3</v>
      </c>
      <c r="M18" s="169">
        <v>9</v>
      </c>
      <c r="N18" s="169">
        <v>8</v>
      </c>
      <c r="O18" s="169">
        <v>2</v>
      </c>
      <c r="P18" s="169">
        <v>0</v>
      </c>
      <c r="Q18" s="170">
        <v>7</v>
      </c>
    </row>
    <row r="19" spans="2:17" s="88" customFormat="1" ht="15" customHeight="1" x14ac:dyDescent="0.25">
      <c r="B19" s="95"/>
      <c r="C19" s="96"/>
      <c r="D19" s="99" t="s">
        <v>221</v>
      </c>
      <c r="E19" s="101" t="s">
        <v>129</v>
      </c>
      <c r="F19" s="171">
        <v>4</v>
      </c>
      <c r="G19" s="171">
        <v>2</v>
      </c>
      <c r="H19" s="171">
        <v>6</v>
      </c>
      <c r="I19" s="171">
        <v>6</v>
      </c>
      <c r="J19" s="171">
        <v>1</v>
      </c>
      <c r="K19" s="172">
        <v>3</v>
      </c>
      <c r="L19" s="171">
        <v>4</v>
      </c>
      <c r="M19" s="171">
        <v>2</v>
      </c>
      <c r="N19" s="171">
        <v>6</v>
      </c>
      <c r="O19" s="171">
        <v>6</v>
      </c>
      <c r="P19" s="171">
        <v>1</v>
      </c>
      <c r="Q19" s="172">
        <v>3</v>
      </c>
    </row>
    <row r="20" spans="2:17" s="88" customFormat="1" x14ac:dyDescent="0.25">
      <c r="B20" s="95"/>
      <c r="C20" s="97"/>
      <c r="D20" s="99" t="s">
        <v>221</v>
      </c>
      <c r="E20" s="101" t="s">
        <v>130</v>
      </c>
      <c r="F20" s="171">
        <v>4</v>
      </c>
      <c r="G20" s="171">
        <v>0</v>
      </c>
      <c r="H20" s="171">
        <v>7</v>
      </c>
      <c r="I20" s="171">
        <v>8</v>
      </c>
      <c r="J20" s="171">
        <v>6</v>
      </c>
      <c r="K20" s="172">
        <v>7</v>
      </c>
      <c r="L20" s="171">
        <v>4</v>
      </c>
      <c r="M20" s="171">
        <v>0</v>
      </c>
      <c r="N20" s="171">
        <v>7</v>
      </c>
      <c r="O20" s="171">
        <v>8</v>
      </c>
      <c r="P20" s="171">
        <v>6</v>
      </c>
      <c r="Q20" s="172">
        <v>7</v>
      </c>
    </row>
    <row r="21" spans="2:17" s="88" customFormat="1" x14ac:dyDescent="0.25">
      <c r="B21" s="95"/>
      <c r="C21" s="97"/>
      <c r="D21" s="99" t="s">
        <v>221</v>
      </c>
      <c r="E21" s="101" t="s">
        <v>131</v>
      </c>
      <c r="F21" s="171">
        <v>5</v>
      </c>
      <c r="G21" s="171">
        <v>9</v>
      </c>
      <c r="H21" s="171">
        <v>2</v>
      </c>
      <c r="I21" s="171">
        <v>1</v>
      </c>
      <c r="J21" s="171">
        <v>0</v>
      </c>
      <c r="K21" s="172">
        <v>9</v>
      </c>
      <c r="L21" s="171">
        <v>5</v>
      </c>
      <c r="M21" s="171">
        <v>9</v>
      </c>
      <c r="N21" s="171">
        <v>2</v>
      </c>
      <c r="O21" s="171">
        <v>1</v>
      </c>
      <c r="P21" s="171">
        <v>0</v>
      </c>
      <c r="Q21" s="172">
        <v>9</v>
      </c>
    </row>
    <row r="22" spans="2:17" s="88" customFormat="1" x14ac:dyDescent="0.25">
      <c r="B22" s="95"/>
      <c r="C22" s="97"/>
      <c r="D22" s="99" t="s">
        <v>221</v>
      </c>
      <c r="E22" s="101" t="s">
        <v>132</v>
      </c>
      <c r="F22" s="171">
        <v>2</v>
      </c>
      <c r="G22" s="171">
        <v>4</v>
      </c>
      <c r="H22" s="171">
        <v>0</v>
      </c>
      <c r="I22" s="171">
        <v>5</v>
      </c>
      <c r="J22" s="171">
        <v>6</v>
      </c>
      <c r="K22" s="172">
        <v>5</v>
      </c>
      <c r="L22" s="171">
        <v>2</v>
      </c>
      <c r="M22" s="171">
        <v>4</v>
      </c>
      <c r="N22" s="171">
        <v>0</v>
      </c>
      <c r="O22" s="171">
        <v>5</v>
      </c>
      <c r="P22" s="171">
        <v>6</v>
      </c>
      <c r="Q22" s="172">
        <v>5</v>
      </c>
    </row>
    <row r="23" spans="2:17" s="88" customFormat="1" x14ac:dyDescent="0.25">
      <c r="B23" s="95"/>
      <c r="C23" s="97"/>
      <c r="D23" s="99" t="s">
        <v>221</v>
      </c>
      <c r="E23" s="101" t="s">
        <v>133</v>
      </c>
      <c r="F23" s="171">
        <v>9</v>
      </c>
      <c r="G23" s="171">
        <v>7</v>
      </c>
      <c r="H23" s="171">
        <v>1</v>
      </c>
      <c r="I23" s="171">
        <v>4</v>
      </c>
      <c r="J23" s="171">
        <v>5</v>
      </c>
      <c r="K23" s="172">
        <v>9</v>
      </c>
      <c r="L23" s="171">
        <v>9</v>
      </c>
      <c r="M23" s="171">
        <v>7</v>
      </c>
      <c r="N23" s="171">
        <v>1</v>
      </c>
      <c r="O23" s="171">
        <v>4</v>
      </c>
      <c r="P23" s="171">
        <v>5</v>
      </c>
      <c r="Q23" s="172">
        <v>9</v>
      </c>
    </row>
    <row r="24" spans="2:17" s="88" customFormat="1" x14ac:dyDescent="0.25">
      <c r="B24" s="95"/>
      <c r="C24" s="97"/>
      <c r="D24" s="99" t="s">
        <v>221</v>
      </c>
      <c r="E24" s="101" t="s">
        <v>134</v>
      </c>
      <c r="F24" s="171">
        <v>1</v>
      </c>
      <c r="G24" s="171">
        <v>6</v>
      </c>
      <c r="H24" s="171">
        <v>5</v>
      </c>
      <c r="I24" s="171">
        <v>2</v>
      </c>
      <c r="J24" s="171">
        <v>4</v>
      </c>
      <c r="K24" s="172">
        <v>9</v>
      </c>
      <c r="L24" s="171">
        <v>1</v>
      </c>
      <c r="M24" s="171">
        <v>6</v>
      </c>
      <c r="N24" s="171">
        <v>5</v>
      </c>
      <c r="O24" s="171">
        <v>2</v>
      </c>
      <c r="P24" s="171">
        <v>4</v>
      </c>
      <c r="Q24" s="172">
        <v>9</v>
      </c>
    </row>
    <row r="25" spans="2:17" s="88" customFormat="1" x14ac:dyDescent="0.25">
      <c r="B25" s="95"/>
      <c r="C25" s="97"/>
      <c r="D25" s="99" t="s">
        <v>221</v>
      </c>
      <c r="E25" s="101" t="s">
        <v>135</v>
      </c>
      <c r="F25" s="171">
        <v>7</v>
      </c>
      <c r="G25" s="171">
        <v>6</v>
      </c>
      <c r="H25" s="171">
        <v>4</v>
      </c>
      <c r="I25" s="171">
        <v>6</v>
      </c>
      <c r="J25" s="171">
        <v>3</v>
      </c>
      <c r="K25" s="172">
        <v>9</v>
      </c>
      <c r="L25" s="171">
        <v>7</v>
      </c>
      <c r="M25" s="171">
        <v>6</v>
      </c>
      <c r="N25" s="171">
        <v>4</v>
      </c>
      <c r="O25" s="171">
        <v>6</v>
      </c>
      <c r="P25" s="171">
        <v>3</v>
      </c>
      <c r="Q25" s="172">
        <v>9</v>
      </c>
    </row>
    <row r="26" spans="2:17" s="88" customFormat="1" x14ac:dyDescent="0.25">
      <c r="B26" s="95"/>
      <c r="C26" s="97"/>
      <c r="D26" s="99" t="s">
        <v>221</v>
      </c>
      <c r="E26" s="101" t="s">
        <v>136</v>
      </c>
      <c r="F26" s="171">
        <v>9</v>
      </c>
      <c r="G26" s="171">
        <v>2</v>
      </c>
      <c r="H26" s="171">
        <v>0</v>
      </c>
      <c r="I26" s="171">
        <v>4</v>
      </c>
      <c r="J26" s="171">
        <v>9</v>
      </c>
      <c r="K26" s="172">
        <v>8</v>
      </c>
      <c r="L26" s="171">
        <v>9</v>
      </c>
      <c r="M26" s="171">
        <v>2</v>
      </c>
      <c r="N26" s="171">
        <v>0</v>
      </c>
      <c r="O26" s="171">
        <v>4</v>
      </c>
      <c r="P26" s="171">
        <v>9</v>
      </c>
      <c r="Q26" s="172">
        <v>8</v>
      </c>
    </row>
    <row r="27" spans="2:17" s="88" customFormat="1" ht="15.75" thickBot="1" x14ac:dyDescent="0.3">
      <c r="B27" s="95"/>
      <c r="C27" s="97"/>
      <c r="D27" s="99" t="s">
        <v>221</v>
      </c>
      <c r="E27" s="102" t="s">
        <v>137</v>
      </c>
      <c r="F27" s="173">
        <v>6</v>
      </c>
      <c r="G27" s="173">
        <v>8</v>
      </c>
      <c r="H27" s="173">
        <v>6</v>
      </c>
      <c r="I27" s="173">
        <v>9</v>
      </c>
      <c r="J27" s="173">
        <v>8</v>
      </c>
      <c r="K27" s="174">
        <v>4</v>
      </c>
      <c r="L27" s="173">
        <v>6</v>
      </c>
      <c r="M27" s="173">
        <v>8</v>
      </c>
      <c r="N27" s="173">
        <v>6</v>
      </c>
      <c r="O27" s="173">
        <v>9</v>
      </c>
      <c r="P27" s="173">
        <v>8</v>
      </c>
      <c r="Q27" s="174">
        <v>4</v>
      </c>
    </row>
    <row r="28" spans="2:17" s="88" customFormat="1" x14ac:dyDescent="0.25">
      <c r="B28" s="95"/>
      <c r="C28" s="97"/>
      <c r="D28" s="99" t="s">
        <v>222</v>
      </c>
      <c r="E28" s="100" t="s">
        <v>128</v>
      </c>
      <c r="F28" s="163">
        <v>3</v>
      </c>
      <c r="G28" s="163">
        <v>9</v>
      </c>
      <c r="H28" s="163">
        <v>8</v>
      </c>
      <c r="I28" s="163">
        <v>2</v>
      </c>
      <c r="J28" s="163">
        <v>0</v>
      </c>
      <c r="K28" s="164">
        <v>7</v>
      </c>
      <c r="L28" s="163">
        <v>3</v>
      </c>
      <c r="M28" s="163">
        <v>9</v>
      </c>
      <c r="N28" s="163">
        <v>8</v>
      </c>
      <c r="O28" s="163">
        <v>2</v>
      </c>
      <c r="P28" s="163">
        <v>0</v>
      </c>
      <c r="Q28" s="164">
        <v>7</v>
      </c>
    </row>
    <row r="29" spans="2:17" s="88" customFormat="1" x14ac:dyDescent="0.25">
      <c r="B29" s="91"/>
      <c r="C29" s="92"/>
      <c r="D29" s="99" t="s">
        <v>222</v>
      </c>
      <c r="E29" s="101" t="s">
        <v>129</v>
      </c>
      <c r="F29" s="165">
        <v>4</v>
      </c>
      <c r="G29" s="165">
        <v>2</v>
      </c>
      <c r="H29" s="165">
        <v>6</v>
      </c>
      <c r="I29" s="165">
        <v>6</v>
      </c>
      <c r="J29" s="165">
        <v>1</v>
      </c>
      <c r="K29" s="166">
        <v>3</v>
      </c>
      <c r="L29" s="165">
        <v>4</v>
      </c>
      <c r="M29" s="165">
        <v>2</v>
      </c>
      <c r="N29" s="165">
        <v>6</v>
      </c>
      <c r="O29" s="165">
        <v>6</v>
      </c>
      <c r="P29" s="165">
        <v>1</v>
      </c>
      <c r="Q29" s="166">
        <v>3</v>
      </c>
    </row>
    <row r="30" spans="2:17" s="88" customFormat="1" ht="15" customHeight="1" x14ac:dyDescent="0.25">
      <c r="B30" s="95"/>
      <c r="C30" s="96"/>
      <c r="D30" s="99" t="s">
        <v>222</v>
      </c>
      <c r="E30" s="101" t="s">
        <v>130</v>
      </c>
      <c r="F30" s="165">
        <v>4</v>
      </c>
      <c r="G30" s="165">
        <v>0</v>
      </c>
      <c r="H30" s="165">
        <v>7</v>
      </c>
      <c r="I30" s="165">
        <v>8</v>
      </c>
      <c r="J30" s="165">
        <v>6</v>
      </c>
      <c r="K30" s="166">
        <v>7</v>
      </c>
      <c r="L30" s="165">
        <v>4</v>
      </c>
      <c r="M30" s="165">
        <v>0</v>
      </c>
      <c r="N30" s="165">
        <v>7</v>
      </c>
      <c r="O30" s="165">
        <v>8</v>
      </c>
      <c r="P30" s="165">
        <v>6</v>
      </c>
      <c r="Q30" s="166">
        <v>7</v>
      </c>
    </row>
    <row r="31" spans="2:17" s="88" customFormat="1" x14ac:dyDescent="0.25">
      <c r="B31" s="95"/>
      <c r="C31" s="97"/>
      <c r="D31" s="99" t="s">
        <v>222</v>
      </c>
      <c r="E31" s="101" t="s">
        <v>131</v>
      </c>
      <c r="F31" s="165">
        <v>5</v>
      </c>
      <c r="G31" s="165">
        <v>9</v>
      </c>
      <c r="H31" s="165">
        <v>2</v>
      </c>
      <c r="I31" s="165">
        <v>1</v>
      </c>
      <c r="J31" s="165">
        <v>0</v>
      </c>
      <c r="K31" s="166">
        <v>9</v>
      </c>
      <c r="L31" s="165">
        <v>5</v>
      </c>
      <c r="M31" s="165">
        <v>9</v>
      </c>
      <c r="N31" s="165">
        <v>2</v>
      </c>
      <c r="O31" s="165">
        <v>1</v>
      </c>
      <c r="P31" s="165">
        <v>0</v>
      </c>
      <c r="Q31" s="166">
        <v>9</v>
      </c>
    </row>
    <row r="32" spans="2:17" s="88" customFormat="1" x14ac:dyDescent="0.25">
      <c r="B32" s="95"/>
      <c r="C32" s="97"/>
      <c r="D32" s="99" t="s">
        <v>222</v>
      </c>
      <c r="E32" s="101" t="s">
        <v>132</v>
      </c>
      <c r="F32" s="165">
        <v>2</v>
      </c>
      <c r="G32" s="165">
        <v>4</v>
      </c>
      <c r="H32" s="165">
        <v>0</v>
      </c>
      <c r="I32" s="165">
        <v>5</v>
      </c>
      <c r="J32" s="165">
        <v>6</v>
      </c>
      <c r="K32" s="166">
        <v>5</v>
      </c>
      <c r="L32" s="165">
        <v>2</v>
      </c>
      <c r="M32" s="165">
        <v>4</v>
      </c>
      <c r="N32" s="165">
        <v>0</v>
      </c>
      <c r="O32" s="165">
        <v>5</v>
      </c>
      <c r="P32" s="165">
        <v>6</v>
      </c>
      <c r="Q32" s="166">
        <v>5</v>
      </c>
    </row>
    <row r="33" spans="2:17" s="88" customFormat="1" x14ac:dyDescent="0.25">
      <c r="B33" s="95"/>
      <c r="C33" s="97"/>
      <c r="D33" s="99" t="s">
        <v>222</v>
      </c>
      <c r="E33" s="101" t="s">
        <v>133</v>
      </c>
      <c r="F33" s="165">
        <v>9</v>
      </c>
      <c r="G33" s="165">
        <v>7</v>
      </c>
      <c r="H33" s="165">
        <v>1</v>
      </c>
      <c r="I33" s="165">
        <v>4</v>
      </c>
      <c r="J33" s="165">
        <v>5</v>
      </c>
      <c r="K33" s="166">
        <v>9</v>
      </c>
      <c r="L33" s="165">
        <v>9</v>
      </c>
      <c r="M33" s="165">
        <v>7</v>
      </c>
      <c r="N33" s="165">
        <v>1</v>
      </c>
      <c r="O33" s="165">
        <v>4</v>
      </c>
      <c r="P33" s="165">
        <v>5</v>
      </c>
      <c r="Q33" s="166">
        <v>9</v>
      </c>
    </row>
    <row r="34" spans="2:17" s="88" customFormat="1" x14ac:dyDescent="0.25">
      <c r="B34" s="95"/>
      <c r="C34" s="97"/>
      <c r="D34" s="99" t="s">
        <v>222</v>
      </c>
      <c r="E34" s="101" t="s">
        <v>134</v>
      </c>
      <c r="F34" s="165">
        <v>1</v>
      </c>
      <c r="G34" s="165">
        <v>6</v>
      </c>
      <c r="H34" s="165">
        <v>5</v>
      </c>
      <c r="I34" s="165">
        <v>2</v>
      </c>
      <c r="J34" s="165">
        <v>4</v>
      </c>
      <c r="K34" s="166">
        <v>9</v>
      </c>
      <c r="L34" s="165">
        <v>1</v>
      </c>
      <c r="M34" s="165">
        <v>6</v>
      </c>
      <c r="N34" s="165">
        <v>5</v>
      </c>
      <c r="O34" s="165">
        <v>2</v>
      </c>
      <c r="P34" s="165">
        <v>4</v>
      </c>
      <c r="Q34" s="166">
        <v>9</v>
      </c>
    </row>
    <row r="35" spans="2:17" s="88" customFormat="1" x14ac:dyDescent="0.25">
      <c r="B35" s="95"/>
      <c r="C35" s="97"/>
      <c r="D35" s="99" t="s">
        <v>222</v>
      </c>
      <c r="E35" s="101" t="s">
        <v>135</v>
      </c>
      <c r="F35" s="165">
        <v>7</v>
      </c>
      <c r="G35" s="165">
        <v>6</v>
      </c>
      <c r="H35" s="165">
        <v>4</v>
      </c>
      <c r="I35" s="165">
        <v>6</v>
      </c>
      <c r="J35" s="165">
        <v>3</v>
      </c>
      <c r="K35" s="166">
        <v>9</v>
      </c>
      <c r="L35" s="165">
        <v>7</v>
      </c>
      <c r="M35" s="165">
        <v>6</v>
      </c>
      <c r="N35" s="165">
        <v>4</v>
      </c>
      <c r="O35" s="165">
        <v>6</v>
      </c>
      <c r="P35" s="165">
        <v>3</v>
      </c>
      <c r="Q35" s="166">
        <v>9</v>
      </c>
    </row>
    <row r="36" spans="2:17" s="88" customFormat="1" x14ac:dyDescent="0.25">
      <c r="B36" s="95"/>
      <c r="C36" s="97"/>
      <c r="D36" s="99" t="s">
        <v>222</v>
      </c>
      <c r="E36" s="101" t="s">
        <v>136</v>
      </c>
      <c r="F36" s="165">
        <v>9</v>
      </c>
      <c r="G36" s="165">
        <v>2</v>
      </c>
      <c r="H36" s="165">
        <v>0</v>
      </c>
      <c r="I36" s="165">
        <v>4</v>
      </c>
      <c r="J36" s="165">
        <v>9</v>
      </c>
      <c r="K36" s="166">
        <v>8</v>
      </c>
      <c r="L36" s="165">
        <v>9</v>
      </c>
      <c r="M36" s="165">
        <v>2</v>
      </c>
      <c r="N36" s="165">
        <v>0</v>
      </c>
      <c r="O36" s="165">
        <v>4</v>
      </c>
      <c r="P36" s="165">
        <v>9</v>
      </c>
      <c r="Q36" s="166">
        <v>8</v>
      </c>
    </row>
    <row r="37" spans="2:17" s="88" customFormat="1" ht="15.75" thickBot="1" x14ac:dyDescent="0.3">
      <c r="B37" s="95"/>
      <c r="C37" s="97"/>
      <c r="D37" s="99" t="s">
        <v>222</v>
      </c>
      <c r="E37" s="102" t="s">
        <v>137</v>
      </c>
      <c r="F37" s="167">
        <v>6</v>
      </c>
      <c r="G37" s="167">
        <v>8</v>
      </c>
      <c r="H37" s="167">
        <v>6</v>
      </c>
      <c r="I37" s="167">
        <v>9</v>
      </c>
      <c r="J37" s="167">
        <v>8</v>
      </c>
      <c r="K37" s="168">
        <v>4</v>
      </c>
      <c r="L37" s="167">
        <v>6</v>
      </c>
      <c r="M37" s="167">
        <v>8</v>
      </c>
      <c r="N37" s="167">
        <v>6</v>
      </c>
      <c r="O37" s="167">
        <v>9</v>
      </c>
      <c r="P37" s="167">
        <v>8</v>
      </c>
      <c r="Q37" s="168">
        <v>4</v>
      </c>
    </row>
    <row r="38" spans="2:17" s="88" customFormat="1" x14ac:dyDescent="0.25">
      <c r="B38" s="95"/>
      <c r="C38" s="97"/>
      <c r="D38" s="99" t="s">
        <v>223</v>
      </c>
      <c r="E38" s="100" t="s">
        <v>128</v>
      </c>
      <c r="F38" s="163">
        <v>3</v>
      </c>
      <c r="G38" s="163">
        <v>9</v>
      </c>
      <c r="H38" s="163">
        <v>8</v>
      </c>
      <c r="I38" s="163">
        <v>2</v>
      </c>
      <c r="J38" s="163">
        <v>0</v>
      </c>
      <c r="K38" s="164">
        <v>7</v>
      </c>
      <c r="L38" s="163">
        <v>3</v>
      </c>
      <c r="M38" s="163">
        <v>9</v>
      </c>
      <c r="N38" s="163">
        <v>8</v>
      </c>
      <c r="O38" s="163">
        <v>2</v>
      </c>
      <c r="P38" s="163">
        <v>0</v>
      </c>
      <c r="Q38" s="164">
        <v>7</v>
      </c>
    </row>
    <row r="39" spans="2:17" s="88" customFormat="1" x14ac:dyDescent="0.25">
      <c r="B39" s="95"/>
      <c r="C39" s="97"/>
      <c r="D39" s="99" t="s">
        <v>223</v>
      </c>
      <c r="E39" s="101" t="s">
        <v>129</v>
      </c>
      <c r="F39" s="165">
        <v>4</v>
      </c>
      <c r="G39" s="165">
        <v>2</v>
      </c>
      <c r="H39" s="165">
        <v>6</v>
      </c>
      <c r="I39" s="165">
        <v>6</v>
      </c>
      <c r="J39" s="165">
        <v>1</v>
      </c>
      <c r="K39" s="166">
        <v>3</v>
      </c>
      <c r="L39" s="165">
        <v>4</v>
      </c>
      <c r="M39" s="165">
        <v>2</v>
      </c>
      <c r="N39" s="165">
        <v>6</v>
      </c>
      <c r="O39" s="165">
        <v>6</v>
      </c>
      <c r="P39" s="165">
        <v>1</v>
      </c>
      <c r="Q39" s="166">
        <v>3</v>
      </c>
    </row>
    <row r="40" spans="2:17" s="88" customFormat="1" x14ac:dyDescent="0.25">
      <c r="B40" s="89"/>
      <c r="C40" s="90"/>
      <c r="D40" s="99" t="s">
        <v>223</v>
      </c>
      <c r="E40" s="101" t="s">
        <v>130</v>
      </c>
      <c r="F40" s="165">
        <v>4</v>
      </c>
      <c r="G40" s="165">
        <v>0</v>
      </c>
      <c r="H40" s="165">
        <v>7</v>
      </c>
      <c r="I40" s="165">
        <v>8</v>
      </c>
      <c r="J40" s="165">
        <v>6</v>
      </c>
      <c r="K40" s="166">
        <v>7</v>
      </c>
      <c r="L40" s="165">
        <v>4</v>
      </c>
      <c r="M40" s="165">
        <v>0</v>
      </c>
      <c r="N40" s="165">
        <v>7</v>
      </c>
      <c r="O40" s="165">
        <v>8</v>
      </c>
      <c r="P40" s="165">
        <v>6</v>
      </c>
      <c r="Q40" s="166">
        <v>7</v>
      </c>
    </row>
    <row r="41" spans="2:17" s="88" customFormat="1" ht="15" customHeight="1" x14ac:dyDescent="0.25">
      <c r="B41" s="95"/>
      <c r="C41" s="96"/>
      <c r="D41" s="99" t="s">
        <v>223</v>
      </c>
      <c r="E41" s="101" t="s">
        <v>131</v>
      </c>
      <c r="F41" s="165">
        <v>5</v>
      </c>
      <c r="G41" s="165">
        <v>9</v>
      </c>
      <c r="H41" s="165">
        <v>2</v>
      </c>
      <c r="I41" s="165">
        <v>1</v>
      </c>
      <c r="J41" s="165">
        <v>0</v>
      </c>
      <c r="K41" s="166">
        <v>9</v>
      </c>
      <c r="L41" s="165">
        <v>5</v>
      </c>
      <c r="M41" s="165">
        <v>9</v>
      </c>
      <c r="N41" s="165">
        <v>2</v>
      </c>
      <c r="O41" s="165">
        <v>1</v>
      </c>
      <c r="P41" s="165">
        <v>0</v>
      </c>
      <c r="Q41" s="166">
        <v>9</v>
      </c>
    </row>
    <row r="42" spans="2:17" s="88" customFormat="1" x14ac:dyDescent="0.25">
      <c r="B42" s="95"/>
      <c r="C42" s="97"/>
      <c r="D42" s="99" t="s">
        <v>223</v>
      </c>
      <c r="E42" s="101" t="s">
        <v>132</v>
      </c>
      <c r="F42" s="165">
        <v>2</v>
      </c>
      <c r="G42" s="165">
        <v>4</v>
      </c>
      <c r="H42" s="165">
        <v>0</v>
      </c>
      <c r="I42" s="165">
        <v>5</v>
      </c>
      <c r="J42" s="165">
        <v>6</v>
      </c>
      <c r="K42" s="166">
        <v>5</v>
      </c>
      <c r="L42" s="165">
        <v>2</v>
      </c>
      <c r="M42" s="165">
        <v>4</v>
      </c>
      <c r="N42" s="165">
        <v>0</v>
      </c>
      <c r="O42" s="165">
        <v>5</v>
      </c>
      <c r="P42" s="165">
        <v>6</v>
      </c>
      <c r="Q42" s="166">
        <v>5</v>
      </c>
    </row>
    <row r="43" spans="2:17" s="88" customFormat="1" x14ac:dyDescent="0.25">
      <c r="B43" s="95"/>
      <c r="C43" s="97"/>
      <c r="D43" s="99" t="s">
        <v>223</v>
      </c>
      <c r="E43" s="101" t="s">
        <v>133</v>
      </c>
      <c r="F43" s="165">
        <v>9</v>
      </c>
      <c r="G43" s="165">
        <v>7</v>
      </c>
      <c r="H43" s="165">
        <v>1</v>
      </c>
      <c r="I43" s="165">
        <v>4</v>
      </c>
      <c r="J43" s="165">
        <v>5</v>
      </c>
      <c r="K43" s="166">
        <v>9</v>
      </c>
      <c r="L43" s="165">
        <v>9</v>
      </c>
      <c r="M43" s="165">
        <v>7</v>
      </c>
      <c r="N43" s="165">
        <v>1</v>
      </c>
      <c r="O43" s="165">
        <v>4</v>
      </c>
      <c r="P43" s="165">
        <v>5</v>
      </c>
      <c r="Q43" s="166">
        <v>9</v>
      </c>
    </row>
    <row r="44" spans="2:17" s="88" customFormat="1" x14ac:dyDescent="0.25">
      <c r="B44" s="95"/>
      <c r="C44" s="97"/>
      <c r="D44" s="99" t="s">
        <v>223</v>
      </c>
      <c r="E44" s="101" t="s">
        <v>134</v>
      </c>
      <c r="F44" s="165">
        <v>1</v>
      </c>
      <c r="G44" s="165">
        <v>6</v>
      </c>
      <c r="H44" s="165">
        <v>5</v>
      </c>
      <c r="I44" s="165">
        <v>2</v>
      </c>
      <c r="J44" s="165">
        <v>4</v>
      </c>
      <c r="K44" s="166">
        <v>9</v>
      </c>
      <c r="L44" s="165">
        <v>1</v>
      </c>
      <c r="M44" s="165">
        <v>6</v>
      </c>
      <c r="N44" s="165">
        <v>5</v>
      </c>
      <c r="O44" s="165">
        <v>2</v>
      </c>
      <c r="P44" s="165">
        <v>4</v>
      </c>
      <c r="Q44" s="166">
        <v>9</v>
      </c>
    </row>
    <row r="45" spans="2:17" s="88" customFormat="1" x14ac:dyDescent="0.25">
      <c r="B45" s="95"/>
      <c r="C45" s="97"/>
      <c r="D45" s="99" t="s">
        <v>223</v>
      </c>
      <c r="E45" s="101" t="s">
        <v>135</v>
      </c>
      <c r="F45" s="165">
        <v>7</v>
      </c>
      <c r="G45" s="165">
        <v>6</v>
      </c>
      <c r="H45" s="165">
        <v>4</v>
      </c>
      <c r="I45" s="165">
        <v>6</v>
      </c>
      <c r="J45" s="165">
        <v>3</v>
      </c>
      <c r="K45" s="166">
        <v>9</v>
      </c>
      <c r="L45" s="165">
        <v>7</v>
      </c>
      <c r="M45" s="165">
        <v>6</v>
      </c>
      <c r="N45" s="165">
        <v>4</v>
      </c>
      <c r="O45" s="165">
        <v>6</v>
      </c>
      <c r="P45" s="165">
        <v>3</v>
      </c>
      <c r="Q45" s="166">
        <v>9</v>
      </c>
    </row>
    <row r="46" spans="2:17" s="88" customFormat="1" x14ac:dyDescent="0.25">
      <c r="B46" s="95"/>
      <c r="C46" s="97"/>
      <c r="D46" s="99" t="s">
        <v>223</v>
      </c>
      <c r="E46" s="101" t="s">
        <v>136</v>
      </c>
      <c r="F46" s="165">
        <v>9</v>
      </c>
      <c r="G46" s="165">
        <v>2</v>
      </c>
      <c r="H46" s="165">
        <v>0</v>
      </c>
      <c r="I46" s="165">
        <v>4</v>
      </c>
      <c r="J46" s="165">
        <v>9</v>
      </c>
      <c r="K46" s="166">
        <v>8</v>
      </c>
      <c r="L46" s="165">
        <v>9</v>
      </c>
      <c r="M46" s="165">
        <v>2</v>
      </c>
      <c r="N46" s="165">
        <v>0</v>
      </c>
      <c r="O46" s="165">
        <v>4</v>
      </c>
      <c r="P46" s="165">
        <v>9</v>
      </c>
      <c r="Q46" s="166">
        <v>8</v>
      </c>
    </row>
    <row r="47" spans="2:17" s="88" customFormat="1" ht="15.75" thickBot="1" x14ac:dyDescent="0.3">
      <c r="B47" s="95"/>
      <c r="C47" s="97"/>
      <c r="D47" s="99" t="s">
        <v>223</v>
      </c>
      <c r="E47" s="102" t="s">
        <v>137</v>
      </c>
      <c r="F47" s="167">
        <v>6</v>
      </c>
      <c r="G47" s="167">
        <v>8</v>
      </c>
      <c r="H47" s="167">
        <v>6</v>
      </c>
      <c r="I47" s="167">
        <v>9</v>
      </c>
      <c r="J47" s="167">
        <v>8</v>
      </c>
      <c r="K47" s="168">
        <v>4</v>
      </c>
      <c r="L47" s="167">
        <v>6</v>
      </c>
      <c r="M47" s="167">
        <v>8</v>
      </c>
      <c r="N47" s="167">
        <v>6</v>
      </c>
      <c r="O47" s="167">
        <v>9</v>
      </c>
      <c r="P47" s="167">
        <v>8</v>
      </c>
      <c r="Q47" s="168">
        <v>4</v>
      </c>
    </row>
    <row r="48" spans="2:17" s="88" customFormat="1" x14ac:dyDescent="0.25">
      <c r="B48" s="95"/>
      <c r="C48" s="97"/>
      <c r="D48" s="99" t="s">
        <v>224</v>
      </c>
      <c r="E48" s="100" t="s">
        <v>128</v>
      </c>
      <c r="F48" s="176">
        <v>3</v>
      </c>
      <c r="G48" s="176">
        <v>9</v>
      </c>
      <c r="H48" s="176">
        <v>8</v>
      </c>
      <c r="I48" s="176">
        <v>2</v>
      </c>
      <c r="J48" s="176">
        <v>0</v>
      </c>
      <c r="K48" s="177">
        <v>7</v>
      </c>
      <c r="L48" s="176">
        <v>3</v>
      </c>
      <c r="M48" s="176">
        <v>9</v>
      </c>
      <c r="N48" s="176">
        <v>8</v>
      </c>
      <c r="O48" s="176">
        <v>2</v>
      </c>
      <c r="P48" s="176">
        <v>0</v>
      </c>
      <c r="Q48" s="177">
        <v>7</v>
      </c>
    </row>
    <row r="49" spans="2:17" s="88" customFormat="1" x14ac:dyDescent="0.25">
      <c r="B49" s="95"/>
      <c r="C49" s="97"/>
      <c r="D49" s="99" t="s">
        <v>224</v>
      </c>
      <c r="E49" s="101" t="s">
        <v>129</v>
      </c>
      <c r="F49" s="175">
        <v>4</v>
      </c>
      <c r="G49" s="175">
        <v>2</v>
      </c>
      <c r="H49" s="175">
        <v>6</v>
      </c>
      <c r="I49" s="175">
        <v>6</v>
      </c>
      <c r="J49" s="175">
        <v>1</v>
      </c>
      <c r="K49" s="178">
        <v>3</v>
      </c>
      <c r="L49" s="175">
        <v>4</v>
      </c>
      <c r="M49" s="175">
        <v>2</v>
      </c>
      <c r="N49" s="175">
        <v>6</v>
      </c>
      <c r="O49" s="175">
        <v>6</v>
      </c>
      <c r="P49" s="175">
        <v>1</v>
      </c>
      <c r="Q49" s="178">
        <v>3</v>
      </c>
    </row>
    <row r="50" spans="2:17" s="88" customFormat="1" x14ac:dyDescent="0.25">
      <c r="B50" s="95"/>
      <c r="C50" s="97"/>
      <c r="D50" s="99" t="s">
        <v>224</v>
      </c>
      <c r="E50" s="101" t="s">
        <v>130</v>
      </c>
      <c r="F50" s="175">
        <v>4</v>
      </c>
      <c r="G50" s="175">
        <v>0</v>
      </c>
      <c r="H50" s="175">
        <v>7</v>
      </c>
      <c r="I50" s="175">
        <v>8</v>
      </c>
      <c r="J50" s="175">
        <v>6</v>
      </c>
      <c r="K50" s="178">
        <v>7</v>
      </c>
      <c r="L50" s="175">
        <v>4</v>
      </c>
      <c r="M50" s="175">
        <v>0</v>
      </c>
      <c r="N50" s="175">
        <v>7</v>
      </c>
      <c r="O50" s="175">
        <v>8</v>
      </c>
      <c r="P50" s="175">
        <v>6</v>
      </c>
      <c r="Q50" s="178">
        <v>7</v>
      </c>
    </row>
    <row r="51" spans="2:17" s="88" customFormat="1" x14ac:dyDescent="0.25">
      <c r="B51" s="91"/>
      <c r="C51" s="92"/>
      <c r="D51" s="99" t="s">
        <v>224</v>
      </c>
      <c r="E51" s="101" t="s">
        <v>131</v>
      </c>
      <c r="F51" s="175">
        <v>5</v>
      </c>
      <c r="G51" s="175">
        <v>9</v>
      </c>
      <c r="H51" s="175">
        <v>2</v>
      </c>
      <c r="I51" s="175">
        <v>1</v>
      </c>
      <c r="J51" s="175">
        <v>0</v>
      </c>
      <c r="K51" s="178">
        <v>9</v>
      </c>
      <c r="L51" s="175">
        <v>5</v>
      </c>
      <c r="M51" s="175">
        <v>9</v>
      </c>
      <c r="N51" s="175">
        <v>2</v>
      </c>
      <c r="O51" s="175">
        <v>1</v>
      </c>
      <c r="P51" s="175">
        <v>0</v>
      </c>
      <c r="Q51" s="178">
        <v>9</v>
      </c>
    </row>
    <row r="52" spans="2:17" s="88" customFormat="1" ht="15" customHeight="1" x14ac:dyDescent="0.25">
      <c r="B52" s="95"/>
      <c r="C52" s="96"/>
      <c r="D52" s="99" t="s">
        <v>224</v>
      </c>
      <c r="E52" s="101" t="s">
        <v>132</v>
      </c>
      <c r="F52" s="175">
        <v>2</v>
      </c>
      <c r="G52" s="175">
        <v>4</v>
      </c>
      <c r="H52" s="175">
        <v>0</v>
      </c>
      <c r="I52" s="175">
        <v>5</v>
      </c>
      <c r="J52" s="175">
        <v>6</v>
      </c>
      <c r="K52" s="178">
        <v>5</v>
      </c>
      <c r="L52" s="175">
        <v>2</v>
      </c>
      <c r="M52" s="175">
        <v>4</v>
      </c>
      <c r="N52" s="175">
        <v>0</v>
      </c>
      <c r="O52" s="175">
        <v>5</v>
      </c>
      <c r="P52" s="175">
        <v>6</v>
      </c>
      <c r="Q52" s="178">
        <v>5</v>
      </c>
    </row>
    <row r="53" spans="2:17" s="88" customFormat="1" x14ac:dyDescent="0.25">
      <c r="B53" s="95"/>
      <c r="C53" s="97"/>
      <c r="D53" s="99" t="s">
        <v>224</v>
      </c>
      <c r="E53" s="101" t="s">
        <v>133</v>
      </c>
      <c r="F53" s="175">
        <v>9</v>
      </c>
      <c r="G53" s="175">
        <v>7</v>
      </c>
      <c r="H53" s="175">
        <v>1</v>
      </c>
      <c r="I53" s="175">
        <v>4</v>
      </c>
      <c r="J53" s="175">
        <v>5</v>
      </c>
      <c r="K53" s="178">
        <v>9</v>
      </c>
      <c r="L53" s="175">
        <v>9</v>
      </c>
      <c r="M53" s="175">
        <v>7</v>
      </c>
      <c r="N53" s="175">
        <v>1</v>
      </c>
      <c r="O53" s="175">
        <v>4</v>
      </c>
      <c r="P53" s="175">
        <v>5</v>
      </c>
      <c r="Q53" s="178">
        <v>9</v>
      </c>
    </row>
    <row r="54" spans="2:17" s="88" customFormat="1" x14ac:dyDescent="0.25">
      <c r="B54" s="95"/>
      <c r="C54" s="97"/>
      <c r="D54" s="99" t="s">
        <v>224</v>
      </c>
      <c r="E54" s="101" t="s">
        <v>134</v>
      </c>
      <c r="F54" s="175">
        <v>1</v>
      </c>
      <c r="G54" s="175">
        <v>6</v>
      </c>
      <c r="H54" s="175">
        <v>5</v>
      </c>
      <c r="I54" s="175">
        <v>2</v>
      </c>
      <c r="J54" s="175">
        <v>4</v>
      </c>
      <c r="K54" s="178">
        <v>9</v>
      </c>
      <c r="L54" s="175">
        <v>1</v>
      </c>
      <c r="M54" s="175">
        <v>6</v>
      </c>
      <c r="N54" s="175">
        <v>5</v>
      </c>
      <c r="O54" s="175">
        <v>2</v>
      </c>
      <c r="P54" s="175">
        <v>4</v>
      </c>
      <c r="Q54" s="178">
        <v>9</v>
      </c>
    </row>
    <row r="55" spans="2:17" s="88" customFormat="1" x14ac:dyDescent="0.25">
      <c r="B55" s="95"/>
      <c r="C55" s="97"/>
      <c r="D55" s="99" t="s">
        <v>224</v>
      </c>
      <c r="E55" s="101" t="s">
        <v>135</v>
      </c>
      <c r="F55" s="175">
        <v>7</v>
      </c>
      <c r="G55" s="175">
        <v>6</v>
      </c>
      <c r="H55" s="175">
        <v>4</v>
      </c>
      <c r="I55" s="175">
        <v>6</v>
      </c>
      <c r="J55" s="175">
        <v>3</v>
      </c>
      <c r="K55" s="178">
        <v>9</v>
      </c>
      <c r="L55" s="175">
        <v>7</v>
      </c>
      <c r="M55" s="175">
        <v>6</v>
      </c>
      <c r="N55" s="175">
        <v>4</v>
      </c>
      <c r="O55" s="175">
        <v>6</v>
      </c>
      <c r="P55" s="175">
        <v>3</v>
      </c>
      <c r="Q55" s="178">
        <v>9</v>
      </c>
    </row>
    <row r="56" spans="2:17" s="88" customFormat="1" x14ac:dyDescent="0.25">
      <c r="B56" s="95"/>
      <c r="C56" s="97"/>
      <c r="D56" s="99" t="s">
        <v>224</v>
      </c>
      <c r="E56" s="101" t="s">
        <v>136</v>
      </c>
      <c r="F56" s="175">
        <v>9</v>
      </c>
      <c r="G56" s="175">
        <v>2</v>
      </c>
      <c r="H56" s="175">
        <v>0</v>
      </c>
      <c r="I56" s="175">
        <v>4</v>
      </c>
      <c r="J56" s="175">
        <v>9</v>
      </c>
      <c r="K56" s="178">
        <v>8</v>
      </c>
      <c r="L56" s="175">
        <v>9</v>
      </c>
      <c r="M56" s="175">
        <v>2</v>
      </c>
      <c r="N56" s="175">
        <v>0</v>
      </c>
      <c r="O56" s="175">
        <v>4</v>
      </c>
      <c r="P56" s="175">
        <v>9</v>
      </c>
      <c r="Q56" s="178">
        <v>8</v>
      </c>
    </row>
    <row r="57" spans="2:17" s="88" customFormat="1" ht="15.75" thickBot="1" x14ac:dyDescent="0.3">
      <c r="B57" s="95"/>
      <c r="C57" s="97"/>
      <c r="D57" s="99" t="s">
        <v>224</v>
      </c>
      <c r="E57" s="102" t="s">
        <v>137</v>
      </c>
      <c r="F57" s="179">
        <v>6</v>
      </c>
      <c r="G57" s="179">
        <v>8</v>
      </c>
      <c r="H57" s="179">
        <v>6</v>
      </c>
      <c r="I57" s="179">
        <v>9</v>
      </c>
      <c r="J57" s="179">
        <v>8</v>
      </c>
      <c r="K57" s="180">
        <v>4</v>
      </c>
      <c r="L57" s="179">
        <v>6</v>
      </c>
      <c r="M57" s="179">
        <v>8</v>
      </c>
      <c r="N57" s="179">
        <v>6</v>
      </c>
      <c r="O57" s="179">
        <v>9</v>
      </c>
      <c r="P57" s="179">
        <v>8</v>
      </c>
      <c r="Q57" s="180">
        <v>4</v>
      </c>
    </row>
    <row r="58" spans="2:17" s="88" customFormat="1" x14ac:dyDescent="0.25">
      <c r="B58" s="95"/>
      <c r="C58" s="97"/>
      <c r="D58" s="99" t="s">
        <v>225</v>
      </c>
      <c r="E58" s="100" t="s">
        <v>128</v>
      </c>
      <c r="F58" s="176">
        <v>3</v>
      </c>
      <c r="G58" s="176">
        <v>9</v>
      </c>
      <c r="H58" s="176">
        <v>8</v>
      </c>
      <c r="I58" s="176">
        <v>2</v>
      </c>
      <c r="J58" s="176">
        <v>0</v>
      </c>
      <c r="K58" s="177">
        <v>7</v>
      </c>
      <c r="L58" s="176">
        <v>3</v>
      </c>
      <c r="M58" s="176">
        <v>9</v>
      </c>
      <c r="N58" s="176">
        <v>8</v>
      </c>
      <c r="O58" s="176">
        <v>2</v>
      </c>
      <c r="P58" s="176">
        <v>0</v>
      </c>
      <c r="Q58" s="177">
        <v>7</v>
      </c>
    </row>
    <row r="59" spans="2:17" s="88" customFormat="1" x14ac:dyDescent="0.25">
      <c r="B59" s="95"/>
      <c r="C59" s="97"/>
      <c r="D59" s="99" t="s">
        <v>225</v>
      </c>
      <c r="E59" s="101" t="s">
        <v>129</v>
      </c>
      <c r="F59" s="175">
        <v>4</v>
      </c>
      <c r="G59" s="175">
        <v>2</v>
      </c>
      <c r="H59" s="175">
        <v>6</v>
      </c>
      <c r="I59" s="175">
        <v>6</v>
      </c>
      <c r="J59" s="175">
        <v>1</v>
      </c>
      <c r="K59" s="178">
        <v>3</v>
      </c>
      <c r="L59" s="175">
        <v>4</v>
      </c>
      <c r="M59" s="175">
        <v>2</v>
      </c>
      <c r="N59" s="175">
        <v>6</v>
      </c>
      <c r="O59" s="175">
        <v>6</v>
      </c>
      <c r="P59" s="175">
        <v>1</v>
      </c>
      <c r="Q59" s="178">
        <v>3</v>
      </c>
    </row>
    <row r="60" spans="2:17" s="88" customFormat="1" x14ac:dyDescent="0.25">
      <c r="B60" s="95"/>
      <c r="C60" s="97"/>
      <c r="D60" s="99" t="s">
        <v>225</v>
      </c>
      <c r="E60" s="101" t="s">
        <v>130</v>
      </c>
      <c r="F60" s="175">
        <v>4</v>
      </c>
      <c r="G60" s="175">
        <v>0</v>
      </c>
      <c r="H60" s="175">
        <v>7</v>
      </c>
      <c r="I60" s="175">
        <v>8</v>
      </c>
      <c r="J60" s="175">
        <v>6</v>
      </c>
      <c r="K60" s="178">
        <v>7</v>
      </c>
      <c r="L60" s="175">
        <v>4</v>
      </c>
      <c r="M60" s="175">
        <v>0</v>
      </c>
      <c r="N60" s="175">
        <v>7</v>
      </c>
      <c r="O60" s="175">
        <v>8</v>
      </c>
      <c r="P60" s="175">
        <v>6</v>
      </c>
      <c r="Q60" s="178">
        <v>7</v>
      </c>
    </row>
    <row r="61" spans="2:17" s="88" customFormat="1" x14ac:dyDescent="0.25">
      <c r="B61" s="95"/>
      <c r="C61" s="97"/>
      <c r="D61" s="99" t="s">
        <v>225</v>
      </c>
      <c r="E61" s="101" t="s">
        <v>131</v>
      </c>
      <c r="F61" s="175">
        <v>5</v>
      </c>
      <c r="G61" s="175">
        <v>9</v>
      </c>
      <c r="H61" s="175">
        <v>2</v>
      </c>
      <c r="I61" s="175">
        <v>1</v>
      </c>
      <c r="J61" s="175">
        <v>0</v>
      </c>
      <c r="K61" s="178">
        <v>9</v>
      </c>
      <c r="L61" s="175">
        <v>5</v>
      </c>
      <c r="M61" s="175">
        <v>9</v>
      </c>
      <c r="N61" s="175">
        <v>2</v>
      </c>
      <c r="O61" s="175">
        <v>1</v>
      </c>
      <c r="P61" s="175">
        <v>0</v>
      </c>
      <c r="Q61" s="178">
        <v>9</v>
      </c>
    </row>
    <row r="62" spans="2:17" s="88" customFormat="1" x14ac:dyDescent="0.25">
      <c r="C62" s="93"/>
      <c r="D62" s="99" t="s">
        <v>225</v>
      </c>
      <c r="E62" s="101" t="s">
        <v>132</v>
      </c>
      <c r="F62" s="175">
        <v>2</v>
      </c>
      <c r="G62" s="175">
        <v>4</v>
      </c>
      <c r="H62" s="175">
        <v>0</v>
      </c>
      <c r="I62" s="175">
        <v>5</v>
      </c>
      <c r="J62" s="175">
        <v>6</v>
      </c>
      <c r="K62" s="178">
        <v>5</v>
      </c>
      <c r="L62" s="175">
        <v>2</v>
      </c>
      <c r="M62" s="175">
        <v>4</v>
      </c>
      <c r="N62" s="175">
        <v>0</v>
      </c>
      <c r="O62" s="175">
        <v>5</v>
      </c>
      <c r="P62" s="175">
        <v>6</v>
      </c>
      <c r="Q62" s="178">
        <v>5</v>
      </c>
    </row>
    <row r="63" spans="2:17" s="88" customFormat="1" x14ac:dyDescent="0.25">
      <c r="B63" s="95"/>
      <c r="C63" s="96"/>
      <c r="D63" s="99" t="s">
        <v>225</v>
      </c>
      <c r="E63" s="101" t="s">
        <v>133</v>
      </c>
      <c r="F63" s="175">
        <v>9</v>
      </c>
      <c r="G63" s="175">
        <v>7</v>
      </c>
      <c r="H63" s="175">
        <v>1</v>
      </c>
      <c r="I63" s="175">
        <v>4</v>
      </c>
      <c r="J63" s="175">
        <v>5</v>
      </c>
      <c r="K63" s="178">
        <v>9</v>
      </c>
      <c r="L63" s="175">
        <v>9</v>
      </c>
      <c r="M63" s="175">
        <v>7</v>
      </c>
      <c r="N63" s="175">
        <v>1</v>
      </c>
      <c r="O63" s="175">
        <v>4</v>
      </c>
      <c r="P63" s="175">
        <v>5</v>
      </c>
      <c r="Q63" s="178">
        <v>9</v>
      </c>
    </row>
    <row r="64" spans="2:17" s="88" customFormat="1" x14ac:dyDescent="0.25">
      <c r="B64" s="95"/>
      <c r="C64" s="97"/>
      <c r="D64" s="99" t="s">
        <v>225</v>
      </c>
      <c r="E64" s="101" t="s">
        <v>134</v>
      </c>
      <c r="F64" s="175">
        <v>1</v>
      </c>
      <c r="G64" s="175">
        <v>6</v>
      </c>
      <c r="H64" s="175">
        <v>5</v>
      </c>
      <c r="I64" s="175">
        <v>2</v>
      </c>
      <c r="J64" s="175">
        <v>4</v>
      </c>
      <c r="K64" s="178">
        <v>9</v>
      </c>
      <c r="L64" s="175">
        <v>1</v>
      </c>
      <c r="M64" s="175">
        <v>6</v>
      </c>
      <c r="N64" s="175">
        <v>5</v>
      </c>
      <c r="O64" s="175">
        <v>2</v>
      </c>
      <c r="P64" s="175">
        <v>4</v>
      </c>
      <c r="Q64" s="178">
        <v>9</v>
      </c>
    </row>
    <row r="65" spans="1:18" s="88" customFormat="1" x14ac:dyDescent="0.25">
      <c r="B65" s="95"/>
      <c r="C65" s="97"/>
      <c r="D65" s="99" t="s">
        <v>225</v>
      </c>
      <c r="E65" s="101" t="s">
        <v>135</v>
      </c>
      <c r="F65" s="175">
        <v>7</v>
      </c>
      <c r="G65" s="175">
        <v>6</v>
      </c>
      <c r="H65" s="175">
        <v>4</v>
      </c>
      <c r="I65" s="175">
        <v>6</v>
      </c>
      <c r="J65" s="175">
        <v>3</v>
      </c>
      <c r="K65" s="178">
        <v>9</v>
      </c>
      <c r="L65" s="175">
        <v>7</v>
      </c>
      <c r="M65" s="175">
        <v>6</v>
      </c>
      <c r="N65" s="175">
        <v>4</v>
      </c>
      <c r="O65" s="175">
        <v>6</v>
      </c>
      <c r="P65" s="175">
        <v>3</v>
      </c>
      <c r="Q65" s="178">
        <v>9</v>
      </c>
    </row>
    <row r="66" spans="1:18" s="88" customFormat="1" x14ac:dyDescent="0.25">
      <c r="B66" s="95"/>
      <c r="C66" s="97"/>
      <c r="D66" s="99" t="s">
        <v>225</v>
      </c>
      <c r="E66" s="101" t="s">
        <v>136</v>
      </c>
      <c r="F66" s="175">
        <v>9</v>
      </c>
      <c r="G66" s="175">
        <v>2</v>
      </c>
      <c r="H66" s="175">
        <v>0</v>
      </c>
      <c r="I66" s="175">
        <v>4</v>
      </c>
      <c r="J66" s="175">
        <v>9</v>
      </c>
      <c r="K66" s="178">
        <v>8</v>
      </c>
      <c r="L66" s="175">
        <v>9</v>
      </c>
      <c r="M66" s="175">
        <v>2</v>
      </c>
      <c r="N66" s="175">
        <v>0</v>
      </c>
      <c r="O66" s="175">
        <v>4</v>
      </c>
      <c r="P66" s="175">
        <v>9</v>
      </c>
      <c r="Q66" s="178">
        <v>8</v>
      </c>
    </row>
    <row r="67" spans="1:18" s="88" customFormat="1" ht="15.75" thickBot="1" x14ac:dyDescent="0.3">
      <c r="B67" s="95"/>
      <c r="C67" s="97"/>
      <c r="D67" s="99" t="s">
        <v>225</v>
      </c>
      <c r="E67" s="102" t="s">
        <v>137</v>
      </c>
      <c r="F67" s="179">
        <v>6</v>
      </c>
      <c r="G67" s="179">
        <v>8</v>
      </c>
      <c r="H67" s="179">
        <v>6</v>
      </c>
      <c r="I67" s="179">
        <v>9</v>
      </c>
      <c r="J67" s="179">
        <v>8</v>
      </c>
      <c r="K67" s="180">
        <v>4</v>
      </c>
      <c r="L67" s="179">
        <v>6</v>
      </c>
      <c r="M67" s="179">
        <v>8</v>
      </c>
      <c r="N67" s="179">
        <v>6</v>
      </c>
      <c r="O67" s="179">
        <v>9</v>
      </c>
      <c r="P67" s="179">
        <v>8</v>
      </c>
      <c r="Q67" s="180">
        <v>4</v>
      </c>
    </row>
    <row r="68" spans="1:18" s="88" customFormat="1" x14ac:dyDescent="0.25">
      <c r="B68" s="95"/>
      <c r="C68" s="97"/>
    </row>
    <row r="69" spans="1:18" s="88" customFormat="1" x14ac:dyDescent="0.25">
      <c r="B69" s="95"/>
      <c r="C69" s="97"/>
    </row>
    <row r="70" spans="1:18" s="88" customFormat="1" x14ac:dyDescent="0.25">
      <c r="B70" s="95"/>
      <c r="C70" s="97"/>
    </row>
    <row r="71" spans="1:18" x14ac:dyDescent="0.25">
      <c r="A71" s="88"/>
      <c r="B71" s="94" t="s">
        <v>170</v>
      </c>
      <c r="C71" s="90"/>
    </row>
    <row r="72" spans="1:18" ht="15.75" thickBot="1" x14ac:dyDescent="0.3">
      <c r="A72" s="88"/>
      <c r="B72" s="94" t="s">
        <v>234</v>
      </c>
      <c r="C72" s="90"/>
      <c r="E72" s="28"/>
      <c r="F72" s="55">
        <v>1</v>
      </c>
      <c r="G72" s="55">
        <v>2</v>
      </c>
      <c r="H72" s="55">
        <v>3</v>
      </c>
      <c r="I72" s="55">
        <v>4</v>
      </c>
      <c r="J72" s="55">
        <v>5</v>
      </c>
      <c r="K72" s="55">
        <v>6</v>
      </c>
      <c r="L72" s="55">
        <v>7</v>
      </c>
      <c r="M72" s="55">
        <v>8</v>
      </c>
      <c r="N72" s="55">
        <v>9</v>
      </c>
      <c r="O72" s="55">
        <v>10</v>
      </c>
      <c r="P72" s="55">
        <v>11</v>
      </c>
      <c r="Q72" s="55">
        <v>12</v>
      </c>
    </row>
    <row r="73" spans="1:18" s="88" customFormat="1" ht="14.45" customHeight="1" x14ac:dyDescent="0.25">
      <c r="B73" s="98" t="s">
        <v>239</v>
      </c>
      <c r="C73" s="96"/>
      <c r="D73" s="99" t="s">
        <v>226</v>
      </c>
      <c r="E73" s="100" t="s">
        <v>128</v>
      </c>
      <c r="F73" s="169">
        <v>1233</v>
      </c>
      <c r="G73" s="169">
        <v>1233</v>
      </c>
      <c r="H73" s="169">
        <v>1233</v>
      </c>
      <c r="I73" s="169">
        <v>1233</v>
      </c>
      <c r="J73" s="169">
        <v>1233</v>
      </c>
      <c r="K73" s="170">
        <v>1233</v>
      </c>
      <c r="L73" s="169">
        <v>1233</v>
      </c>
      <c r="M73" s="169">
        <v>1233</v>
      </c>
      <c r="N73" s="169">
        <v>1233</v>
      </c>
      <c r="O73" s="169">
        <v>1233</v>
      </c>
      <c r="P73" s="169">
        <v>1233</v>
      </c>
      <c r="Q73" s="170">
        <v>1233</v>
      </c>
      <c r="R73" s="89"/>
    </row>
    <row r="74" spans="1:18" s="88" customFormat="1" x14ac:dyDescent="0.25">
      <c r="B74" s="95"/>
      <c r="C74" s="97"/>
      <c r="D74" s="99" t="s">
        <v>226</v>
      </c>
      <c r="E74" s="101" t="s">
        <v>129</v>
      </c>
      <c r="F74" s="171">
        <v>1233</v>
      </c>
      <c r="G74" s="171">
        <v>1233</v>
      </c>
      <c r="H74" s="171">
        <v>1233</v>
      </c>
      <c r="I74" s="171">
        <v>1233</v>
      </c>
      <c r="J74" s="171">
        <v>1233</v>
      </c>
      <c r="K74" s="172">
        <v>1233</v>
      </c>
      <c r="L74" s="171">
        <v>1233</v>
      </c>
      <c r="M74" s="171">
        <v>1233</v>
      </c>
      <c r="N74" s="171">
        <v>1233</v>
      </c>
      <c r="O74" s="171">
        <v>1233</v>
      </c>
      <c r="P74" s="171">
        <v>1233</v>
      </c>
      <c r="Q74" s="172">
        <v>1233</v>
      </c>
      <c r="R74" s="89"/>
    </row>
    <row r="75" spans="1:18" s="88" customFormat="1" x14ac:dyDescent="0.25">
      <c r="B75" s="95"/>
      <c r="C75" s="97"/>
      <c r="D75" s="99" t="s">
        <v>226</v>
      </c>
      <c r="E75" s="101" t="s">
        <v>130</v>
      </c>
      <c r="F75" s="171">
        <v>1233</v>
      </c>
      <c r="G75" s="171">
        <v>1233</v>
      </c>
      <c r="H75" s="171">
        <v>1233</v>
      </c>
      <c r="I75" s="171">
        <v>1233</v>
      </c>
      <c r="J75" s="171">
        <v>1233</v>
      </c>
      <c r="K75" s="172">
        <v>1233</v>
      </c>
      <c r="L75" s="171">
        <v>1233</v>
      </c>
      <c r="M75" s="171">
        <v>1233</v>
      </c>
      <c r="N75" s="171">
        <v>1233</v>
      </c>
      <c r="O75" s="171">
        <v>1233</v>
      </c>
      <c r="P75" s="171">
        <v>1233</v>
      </c>
      <c r="Q75" s="172">
        <v>1233</v>
      </c>
      <c r="R75" s="89"/>
    </row>
    <row r="76" spans="1:18" s="88" customFormat="1" x14ac:dyDescent="0.25">
      <c r="B76" s="95"/>
      <c r="C76" s="97"/>
      <c r="D76" s="99" t="s">
        <v>226</v>
      </c>
      <c r="E76" s="101" t="s">
        <v>131</v>
      </c>
      <c r="F76" s="171">
        <v>1233</v>
      </c>
      <c r="G76" s="171">
        <v>1233</v>
      </c>
      <c r="H76" s="171">
        <v>1233</v>
      </c>
      <c r="I76" s="171">
        <v>1233</v>
      </c>
      <c r="J76" s="171">
        <v>1233</v>
      </c>
      <c r="K76" s="172">
        <v>1233</v>
      </c>
      <c r="L76" s="171">
        <v>1233</v>
      </c>
      <c r="M76" s="171">
        <v>1233</v>
      </c>
      <c r="N76" s="171">
        <v>1233</v>
      </c>
      <c r="O76" s="171">
        <v>1233</v>
      </c>
      <c r="P76" s="171">
        <v>1233</v>
      </c>
      <c r="Q76" s="172">
        <v>1233</v>
      </c>
      <c r="R76" s="89"/>
    </row>
    <row r="77" spans="1:18" s="88" customFormat="1" x14ac:dyDescent="0.25">
      <c r="B77" s="95"/>
      <c r="C77" s="97"/>
      <c r="D77" s="99" t="s">
        <v>226</v>
      </c>
      <c r="E77" s="101" t="s">
        <v>132</v>
      </c>
      <c r="F77" s="171">
        <v>1233</v>
      </c>
      <c r="G77" s="171">
        <v>1233</v>
      </c>
      <c r="H77" s="171">
        <v>1233</v>
      </c>
      <c r="I77" s="171">
        <v>1233</v>
      </c>
      <c r="J77" s="171">
        <v>1233</v>
      </c>
      <c r="K77" s="172">
        <v>1233</v>
      </c>
      <c r="L77" s="171">
        <v>1233</v>
      </c>
      <c r="M77" s="171">
        <v>1233</v>
      </c>
      <c r="N77" s="171">
        <v>1233</v>
      </c>
      <c r="O77" s="171">
        <v>1233</v>
      </c>
      <c r="P77" s="171">
        <v>1233</v>
      </c>
      <c r="Q77" s="172">
        <v>1233</v>
      </c>
      <c r="R77" s="89"/>
    </row>
    <row r="78" spans="1:18" s="88" customFormat="1" x14ac:dyDescent="0.25">
      <c r="B78" s="95"/>
      <c r="C78" s="97"/>
      <c r="D78" s="99" t="s">
        <v>226</v>
      </c>
      <c r="E78" s="101" t="s">
        <v>133</v>
      </c>
      <c r="F78" s="171">
        <v>1233</v>
      </c>
      <c r="G78" s="171">
        <v>1233</v>
      </c>
      <c r="H78" s="171">
        <v>1233</v>
      </c>
      <c r="I78" s="171">
        <v>1233</v>
      </c>
      <c r="J78" s="171">
        <v>1233</v>
      </c>
      <c r="K78" s="172">
        <v>1233</v>
      </c>
      <c r="L78" s="171">
        <v>1233</v>
      </c>
      <c r="M78" s="171">
        <v>1233</v>
      </c>
      <c r="N78" s="171">
        <v>1233</v>
      </c>
      <c r="O78" s="171">
        <v>1233</v>
      </c>
      <c r="P78" s="171">
        <v>1233</v>
      </c>
      <c r="Q78" s="172">
        <v>1233</v>
      </c>
      <c r="R78" s="89"/>
    </row>
    <row r="79" spans="1:18" s="88" customFormat="1" x14ac:dyDescent="0.25">
      <c r="B79" s="95"/>
      <c r="C79" s="97"/>
      <c r="D79" s="99" t="s">
        <v>226</v>
      </c>
      <c r="E79" s="101" t="s">
        <v>134</v>
      </c>
      <c r="F79" s="171">
        <v>1233</v>
      </c>
      <c r="G79" s="171">
        <v>1233</v>
      </c>
      <c r="H79" s="171">
        <v>1233</v>
      </c>
      <c r="I79" s="171">
        <v>1233</v>
      </c>
      <c r="J79" s="171">
        <v>1233</v>
      </c>
      <c r="K79" s="172">
        <v>1233</v>
      </c>
      <c r="L79" s="171">
        <v>1233</v>
      </c>
      <c r="M79" s="171">
        <v>1233</v>
      </c>
      <c r="N79" s="171">
        <v>1233</v>
      </c>
      <c r="O79" s="171">
        <v>1233</v>
      </c>
      <c r="P79" s="171">
        <v>1233</v>
      </c>
      <c r="Q79" s="172">
        <v>1233</v>
      </c>
      <c r="R79" s="89"/>
    </row>
    <row r="80" spans="1:18" s="88" customFormat="1" x14ac:dyDescent="0.25">
      <c r="B80" s="95"/>
      <c r="C80" s="97"/>
      <c r="D80" s="99" t="s">
        <v>226</v>
      </c>
      <c r="E80" s="101" t="s">
        <v>135</v>
      </c>
      <c r="F80" s="171">
        <v>1145</v>
      </c>
      <c r="G80" s="171">
        <v>1145</v>
      </c>
      <c r="H80" s="171">
        <v>1145</v>
      </c>
      <c r="I80" s="171">
        <v>1145</v>
      </c>
      <c r="J80" s="171">
        <v>1145</v>
      </c>
      <c r="K80" s="172">
        <v>1145</v>
      </c>
      <c r="L80" s="171">
        <v>1145</v>
      </c>
      <c r="M80" s="171">
        <v>1145</v>
      </c>
      <c r="N80" s="171">
        <v>1145</v>
      </c>
      <c r="O80" s="171">
        <v>1145</v>
      </c>
      <c r="P80" s="171">
        <v>1145</v>
      </c>
      <c r="Q80" s="172">
        <v>1145</v>
      </c>
      <c r="R80" s="89"/>
    </row>
    <row r="81" spans="2:18" s="88" customFormat="1" x14ac:dyDescent="0.25">
      <c r="B81" s="95"/>
      <c r="C81" s="97"/>
      <c r="D81" s="99" t="s">
        <v>226</v>
      </c>
      <c r="E81" s="101" t="s">
        <v>136</v>
      </c>
      <c r="F81" s="171">
        <v>1145</v>
      </c>
      <c r="G81" s="171">
        <v>1145</v>
      </c>
      <c r="H81" s="171">
        <v>1145</v>
      </c>
      <c r="I81" s="171">
        <v>1145</v>
      </c>
      <c r="J81" s="171">
        <v>1145</v>
      </c>
      <c r="K81" s="172">
        <v>1145</v>
      </c>
      <c r="L81" s="171">
        <v>1145</v>
      </c>
      <c r="M81" s="171">
        <v>1145</v>
      </c>
      <c r="N81" s="171">
        <v>1145</v>
      </c>
      <c r="O81" s="171">
        <v>1145</v>
      </c>
      <c r="P81" s="171">
        <v>1145</v>
      </c>
      <c r="Q81" s="172">
        <v>1145</v>
      </c>
      <c r="R81" s="89"/>
    </row>
    <row r="82" spans="2:18" s="88" customFormat="1" ht="15.75" thickBot="1" x14ac:dyDescent="0.3">
      <c r="B82" s="95"/>
      <c r="C82" s="97"/>
      <c r="D82" s="99" t="s">
        <v>226</v>
      </c>
      <c r="E82" s="102" t="s">
        <v>137</v>
      </c>
      <c r="F82" s="173">
        <v>1145</v>
      </c>
      <c r="G82" s="173">
        <v>1145</v>
      </c>
      <c r="H82" s="173">
        <v>1145</v>
      </c>
      <c r="I82" s="173">
        <v>1145</v>
      </c>
      <c r="J82" s="173">
        <v>1145</v>
      </c>
      <c r="K82" s="174">
        <v>1145</v>
      </c>
      <c r="L82" s="173">
        <v>1145</v>
      </c>
      <c r="M82" s="173">
        <v>1145</v>
      </c>
      <c r="N82" s="173">
        <v>1145</v>
      </c>
      <c r="O82" s="173">
        <v>1145</v>
      </c>
      <c r="P82" s="173">
        <v>1145</v>
      </c>
      <c r="Q82" s="174">
        <v>1145</v>
      </c>
      <c r="R82" s="89"/>
    </row>
    <row r="83" spans="2:18" s="88" customFormat="1" x14ac:dyDescent="0.25">
      <c r="B83" s="89"/>
      <c r="C83" s="90"/>
      <c r="D83" s="99" t="s">
        <v>221</v>
      </c>
      <c r="E83" s="101" t="s">
        <v>128</v>
      </c>
      <c r="F83" s="171">
        <v>1233</v>
      </c>
      <c r="G83" s="171">
        <v>1233</v>
      </c>
      <c r="H83" s="171">
        <v>1233</v>
      </c>
      <c r="I83" s="171">
        <v>1233</v>
      </c>
      <c r="J83" s="171">
        <v>1233</v>
      </c>
      <c r="K83" s="172">
        <v>1233</v>
      </c>
      <c r="L83" s="171">
        <v>1233</v>
      </c>
      <c r="M83" s="171">
        <v>1233</v>
      </c>
      <c r="N83" s="171">
        <v>1233</v>
      </c>
      <c r="O83" s="171">
        <v>1233</v>
      </c>
      <c r="P83" s="171">
        <v>1233</v>
      </c>
      <c r="Q83" s="172">
        <v>1233</v>
      </c>
    </row>
    <row r="84" spans="2:18" s="88" customFormat="1" ht="14.45" customHeight="1" x14ac:dyDescent="0.25">
      <c r="B84" s="95"/>
      <c r="C84" s="96"/>
      <c r="D84" s="99" t="s">
        <v>221</v>
      </c>
      <c r="E84" s="101" t="s">
        <v>129</v>
      </c>
      <c r="F84" s="171">
        <v>1233</v>
      </c>
      <c r="G84" s="171">
        <v>1233</v>
      </c>
      <c r="H84" s="171">
        <v>1233</v>
      </c>
      <c r="I84" s="171">
        <v>1233</v>
      </c>
      <c r="J84" s="171">
        <v>1233</v>
      </c>
      <c r="K84" s="172">
        <v>1233</v>
      </c>
      <c r="L84" s="171">
        <v>1233</v>
      </c>
      <c r="M84" s="171">
        <v>1233</v>
      </c>
      <c r="N84" s="171">
        <v>1233</v>
      </c>
      <c r="O84" s="171">
        <v>1233</v>
      </c>
      <c r="P84" s="171">
        <v>1233</v>
      </c>
      <c r="Q84" s="172">
        <v>1233</v>
      </c>
    </row>
    <row r="85" spans="2:18" s="88" customFormat="1" x14ac:dyDescent="0.25">
      <c r="B85" s="95"/>
      <c r="C85" s="96"/>
      <c r="D85" s="99" t="s">
        <v>221</v>
      </c>
      <c r="E85" s="101" t="s">
        <v>130</v>
      </c>
      <c r="F85" s="171">
        <v>1233</v>
      </c>
      <c r="G85" s="171">
        <v>1233</v>
      </c>
      <c r="H85" s="171">
        <v>1233</v>
      </c>
      <c r="I85" s="171">
        <v>1233</v>
      </c>
      <c r="J85" s="171">
        <v>1233</v>
      </c>
      <c r="K85" s="172">
        <v>1233</v>
      </c>
      <c r="L85" s="171">
        <v>1233</v>
      </c>
      <c r="M85" s="171">
        <v>1233</v>
      </c>
      <c r="N85" s="171">
        <v>1233</v>
      </c>
      <c r="O85" s="171">
        <v>1233</v>
      </c>
      <c r="P85" s="171">
        <v>1233</v>
      </c>
      <c r="Q85" s="172">
        <v>1233</v>
      </c>
    </row>
    <row r="86" spans="2:18" s="88" customFormat="1" x14ac:dyDescent="0.25">
      <c r="B86" s="95"/>
      <c r="C86" s="96"/>
      <c r="D86" s="99" t="s">
        <v>221</v>
      </c>
      <c r="E86" s="101" t="s">
        <v>131</v>
      </c>
      <c r="F86" s="171">
        <v>1233</v>
      </c>
      <c r="G86" s="171">
        <v>1233</v>
      </c>
      <c r="H86" s="171">
        <v>1233</v>
      </c>
      <c r="I86" s="171">
        <v>1233</v>
      </c>
      <c r="J86" s="171">
        <v>1233</v>
      </c>
      <c r="K86" s="172">
        <v>1233</v>
      </c>
      <c r="L86" s="171">
        <v>1233</v>
      </c>
      <c r="M86" s="171">
        <v>1233</v>
      </c>
      <c r="N86" s="171">
        <v>1233</v>
      </c>
      <c r="O86" s="171">
        <v>1233</v>
      </c>
      <c r="P86" s="171">
        <v>1233</v>
      </c>
      <c r="Q86" s="172">
        <v>1233</v>
      </c>
    </row>
    <row r="87" spans="2:18" s="88" customFormat="1" x14ac:dyDescent="0.25">
      <c r="B87" s="95"/>
      <c r="C87" s="96"/>
      <c r="D87" s="99" t="s">
        <v>221</v>
      </c>
      <c r="E87" s="101" t="s">
        <v>132</v>
      </c>
      <c r="F87" s="171">
        <v>1233</v>
      </c>
      <c r="G87" s="171">
        <v>1233</v>
      </c>
      <c r="H87" s="171">
        <v>1233</v>
      </c>
      <c r="I87" s="171">
        <v>1233</v>
      </c>
      <c r="J87" s="171">
        <v>1233</v>
      </c>
      <c r="K87" s="172">
        <v>1233</v>
      </c>
      <c r="L87" s="171">
        <v>1233</v>
      </c>
      <c r="M87" s="171">
        <v>1233</v>
      </c>
      <c r="N87" s="171">
        <v>1233</v>
      </c>
      <c r="O87" s="171">
        <v>1233</v>
      </c>
      <c r="P87" s="171">
        <v>1233</v>
      </c>
      <c r="Q87" s="172">
        <v>1233</v>
      </c>
    </row>
    <row r="88" spans="2:18" s="88" customFormat="1" x14ac:dyDescent="0.25">
      <c r="B88" s="95"/>
      <c r="C88" s="96"/>
      <c r="D88" s="99" t="s">
        <v>221</v>
      </c>
      <c r="E88" s="101" t="s">
        <v>133</v>
      </c>
      <c r="F88" s="171">
        <v>1233</v>
      </c>
      <c r="G88" s="171">
        <v>1233</v>
      </c>
      <c r="H88" s="171">
        <v>1233</v>
      </c>
      <c r="I88" s="171">
        <v>1233</v>
      </c>
      <c r="J88" s="171">
        <v>1233</v>
      </c>
      <c r="K88" s="172">
        <v>1233</v>
      </c>
      <c r="L88" s="171">
        <v>1233</v>
      </c>
      <c r="M88" s="171">
        <v>1233</v>
      </c>
      <c r="N88" s="171">
        <v>1233</v>
      </c>
      <c r="O88" s="171">
        <v>1233</v>
      </c>
      <c r="P88" s="171">
        <v>1233</v>
      </c>
      <c r="Q88" s="172">
        <v>1233</v>
      </c>
    </row>
    <row r="89" spans="2:18" s="88" customFormat="1" x14ac:dyDescent="0.25">
      <c r="B89" s="95"/>
      <c r="C89" s="96"/>
      <c r="D89" s="99" t="s">
        <v>221</v>
      </c>
      <c r="E89" s="101" t="s">
        <v>134</v>
      </c>
      <c r="F89" s="171">
        <v>1233</v>
      </c>
      <c r="G89" s="171">
        <v>1233</v>
      </c>
      <c r="H89" s="171">
        <v>1233</v>
      </c>
      <c r="I89" s="171">
        <v>1233</v>
      </c>
      <c r="J89" s="171">
        <v>1233</v>
      </c>
      <c r="K89" s="172">
        <v>1233</v>
      </c>
      <c r="L89" s="171">
        <v>1233</v>
      </c>
      <c r="M89" s="171">
        <v>1233</v>
      </c>
      <c r="N89" s="171">
        <v>1233</v>
      </c>
      <c r="O89" s="171">
        <v>1233</v>
      </c>
      <c r="P89" s="171">
        <v>1233</v>
      </c>
      <c r="Q89" s="172">
        <v>1233</v>
      </c>
    </row>
    <row r="90" spans="2:18" s="88" customFormat="1" x14ac:dyDescent="0.25">
      <c r="B90" s="95"/>
      <c r="C90" s="96"/>
      <c r="D90" s="99" t="s">
        <v>221</v>
      </c>
      <c r="E90" s="101" t="s">
        <v>135</v>
      </c>
      <c r="F90" s="171">
        <v>1145</v>
      </c>
      <c r="G90" s="171">
        <v>1145</v>
      </c>
      <c r="H90" s="171">
        <v>1145</v>
      </c>
      <c r="I90" s="171">
        <v>1145</v>
      </c>
      <c r="J90" s="171">
        <v>1145</v>
      </c>
      <c r="K90" s="172">
        <v>1145</v>
      </c>
      <c r="L90" s="171">
        <v>1145</v>
      </c>
      <c r="M90" s="171">
        <v>1145</v>
      </c>
      <c r="N90" s="171">
        <v>1145</v>
      </c>
      <c r="O90" s="171">
        <v>1145</v>
      </c>
      <c r="P90" s="171">
        <v>1145</v>
      </c>
      <c r="Q90" s="172">
        <v>1145</v>
      </c>
    </row>
    <row r="91" spans="2:18" s="88" customFormat="1" x14ac:dyDescent="0.25">
      <c r="B91" s="95"/>
      <c r="C91" s="96"/>
      <c r="D91" s="99" t="s">
        <v>221</v>
      </c>
      <c r="E91" s="101" t="s">
        <v>136</v>
      </c>
      <c r="F91" s="171">
        <v>1145</v>
      </c>
      <c r="G91" s="171">
        <v>1145</v>
      </c>
      <c r="H91" s="171">
        <v>1145</v>
      </c>
      <c r="I91" s="171">
        <v>1145</v>
      </c>
      <c r="J91" s="171">
        <v>1145</v>
      </c>
      <c r="K91" s="172">
        <v>1145</v>
      </c>
      <c r="L91" s="171">
        <v>1145</v>
      </c>
      <c r="M91" s="171">
        <v>1145</v>
      </c>
      <c r="N91" s="171">
        <v>1145</v>
      </c>
      <c r="O91" s="171">
        <v>1145</v>
      </c>
      <c r="P91" s="171">
        <v>1145</v>
      </c>
      <c r="Q91" s="172">
        <v>1145</v>
      </c>
    </row>
    <row r="92" spans="2:18" s="88" customFormat="1" ht="15.75" thickBot="1" x14ac:dyDescent="0.3">
      <c r="B92" s="95"/>
      <c r="C92" s="96"/>
      <c r="D92" s="99" t="s">
        <v>221</v>
      </c>
      <c r="E92" s="102" t="s">
        <v>137</v>
      </c>
      <c r="F92" s="173">
        <v>1145</v>
      </c>
      <c r="G92" s="173">
        <v>1145</v>
      </c>
      <c r="H92" s="173">
        <v>1145</v>
      </c>
      <c r="I92" s="173">
        <v>1145</v>
      </c>
      <c r="J92" s="173">
        <v>1145</v>
      </c>
      <c r="K92" s="174">
        <v>1145</v>
      </c>
      <c r="L92" s="173">
        <v>1145</v>
      </c>
      <c r="M92" s="173">
        <v>1145</v>
      </c>
      <c r="N92" s="173">
        <v>1145</v>
      </c>
      <c r="O92" s="173">
        <v>1145</v>
      </c>
      <c r="P92" s="173">
        <v>1145</v>
      </c>
      <c r="Q92" s="174">
        <v>1145</v>
      </c>
    </row>
    <row r="93" spans="2:18" s="88" customFormat="1" x14ac:dyDescent="0.25">
      <c r="B93" s="95"/>
      <c r="C93" s="96"/>
      <c r="D93" s="99" t="s">
        <v>222</v>
      </c>
      <c r="E93" s="101" t="s">
        <v>128</v>
      </c>
      <c r="F93" s="165">
        <v>1233</v>
      </c>
      <c r="G93" s="165">
        <v>1233</v>
      </c>
      <c r="H93" s="165">
        <v>1233</v>
      </c>
      <c r="I93" s="165">
        <v>1233</v>
      </c>
      <c r="J93" s="165">
        <v>1233</v>
      </c>
      <c r="K93" s="166">
        <v>1233</v>
      </c>
      <c r="L93" s="165">
        <v>1233</v>
      </c>
      <c r="M93" s="165">
        <v>1233</v>
      </c>
      <c r="N93" s="165">
        <v>1233</v>
      </c>
      <c r="O93" s="165">
        <v>1233</v>
      </c>
      <c r="P93" s="165">
        <v>1233</v>
      </c>
      <c r="Q93" s="166">
        <v>1233</v>
      </c>
    </row>
    <row r="94" spans="2:18" s="88" customFormat="1" x14ac:dyDescent="0.25">
      <c r="B94" s="91"/>
      <c r="C94" s="92"/>
      <c r="D94" s="99" t="s">
        <v>222</v>
      </c>
      <c r="E94" s="101" t="s">
        <v>129</v>
      </c>
      <c r="F94" s="165">
        <v>1233</v>
      </c>
      <c r="G94" s="165">
        <v>1233</v>
      </c>
      <c r="H94" s="165">
        <v>1233</v>
      </c>
      <c r="I94" s="165">
        <v>1233</v>
      </c>
      <c r="J94" s="165">
        <v>1233</v>
      </c>
      <c r="K94" s="166">
        <v>1233</v>
      </c>
      <c r="L94" s="165">
        <v>1233</v>
      </c>
      <c r="M94" s="165">
        <v>1233</v>
      </c>
      <c r="N94" s="165">
        <v>1233</v>
      </c>
      <c r="O94" s="165">
        <v>1233</v>
      </c>
      <c r="P94" s="165">
        <v>1233</v>
      </c>
      <c r="Q94" s="166">
        <v>1233</v>
      </c>
    </row>
    <row r="95" spans="2:18" s="88" customFormat="1" ht="14.45" customHeight="1" x14ac:dyDescent="0.25">
      <c r="B95" s="95"/>
      <c r="C95" s="96"/>
      <c r="D95" s="99" t="s">
        <v>222</v>
      </c>
      <c r="E95" s="101" t="s">
        <v>130</v>
      </c>
      <c r="F95" s="165">
        <v>1233</v>
      </c>
      <c r="G95" s="165">
        <v>1233</v>
      </c>
      <c r="H95" s="165">
        <v>1233</v>
      </c>
      <c r="I95" s="165">
        <v>1233</v>
      </c>
      <c r="J95" s="165">
        <v>1233</v>
      </c>
      <c r="K95" s="166">
        <v>1233</v>
      </c>
      <c r="L95" s="165">
        <v>1233</v>
      </c>
      <c r="M95" s="165">
        <v>1233</v>
      </c>
      <c r="N95" s="165">
        <v>1233</v>
      </c>
      <c r="O95" s="165">
        <v>1233</v>
      </c>
      <c r="P95" s="165">
        <v>1233</v>
      </c>
      <c r="Q95" s="166">
        <v>1233</v>
      </c>
    </row>
    <row r="96" spans="2:18" s="88" customFormat="1" x14ac:dyDescent="0.25">
      <c r="B96" s="95"/>
      <c r="C96" s="96"/>
      <c r="D96" s="99" t="s">
        <v>222</v>
      </c>
      <c r="E96" s="101" t="s">
        <v>131</v>
      </c>
      <c r="F96" s="165">
        <v>1233</v>
      </c>
      <c r="G96" s="165">
        <v>1233</v>
      </c>
      <c r="H96" s="165">
        <v>1233</v>
      </c>
      <c r="I96" s="165">
        <v>1233</v>
      </c>
      <c r="J96" s="165">
        <v>1233</v>
      </c>
      <c r="K96" s="166">
        <v>1233</v>
      </c>
      <c r="L96" s="165">
        <v>1233</v>
      </c>
      <c r="M96" s="165">
        <v>1233</v>
      </c>
      <c r="N96" s="165">
        <v>1233</v>
      </c>
      <c r="O96" s="165">
        <v>1233</v>
      </c>
      <c r="P96" s="165">
        <v>1233</v>
      </c>
      <c r="Q96" s="166">
        <v>1233</v>
      </c>
    </row>
    <row r="97" spans="2:17" s="88" customFormat="1" x14ac:dyDescent="0.25">
      <c r="B97" s="95"/>
      <c r="C97" s="96"/>
      <c r="D97" s="99" t="s">
        <v>222</v>
      </c>
      <c r="E97" s="101" t="s">
        <v>132</v>
      </c>
      <c r="F97" s="165">
        <v>1233</v>
      </c>
      <c r="G97" s="165">
        <v>1233</v>
      </c>
      <c r="H97" s="165">
        <v>1233</v>
      </c>
      <c r="I97" s="165">
        <v>1233</v>
      </c>
      <c r="J97" s="165">
        <v>1233</v>
      </c>
      <c r="K97" s="166">
        <v>1233</v>
      </c>
      <c r="L97" s="165">
        <v>1233</v>
      </c>
      <c r="M97" s="165">
        <v>1233</v>
      </c>
      <c r="N97" s="165">
        <v>1233</v>
      </c>
      <c r="O97" s="165">
        <v>1233</v>
      </c>
      <c r="P97" s="165">
        <v>1233</v>
      </c>
      <c r="Q97" s="166">
        <v>1233</v>
      </c>
    </row>
    <row r="98" spans="2:17" s="88" customFormat="1" x14ac:dyDescent="0.25">
      <c r="B98" s="95"/>
      <c r="C98" s="96"/>
      <c r="D98" s="99" t="s">
        <v>222</v>
      </c>
      <c r="E98" s="101" t="s">
        <v>133</v>
      </c>
      <c r="F98" s="165">
        <v>1233</v>
      </c>
      <c r="G98" s="165">
        <v>1233</v>
      </c>
      <c r="H98" s="165">
        <v>1233</v>
      </c>
      <c r="I98" s="165">
        <v>1233</v>
      </c>
      <c r="J98" s="165">
        <v>1233</v>
      </c>
      <c r="K98" s="166">
        <v>1233</v>
      </c>
      <c r="L98" s="165">
        <v>1233</v>
      </c>
      <c r="M98" s="165">
        <v>1233</v>
      </c>
      <c r="N98" s="165">
        <v>1233</v>
      </c>
      <c r="O98" s="165">
        <v>1233</v>
      </c>
      <c r="P98" s="165">
        <v>1233</v>
      </c>
      <c r="Q98" s="166">
        <v>1233</v>
      </c>
    </row>
    <row r="99" spans="2:17" s="88" customFormat="1" x14ac:dyDescent="0.25">
      <c r="B99" s="95"/>
      <c r="C99" s="96"/>
      <c r="D99" s="99" t="s">
        <v>222</v>
      </c>
      <c r="E99" s="101" t="s">
        <v>134</v>
      </c>
      <c r="F99" s="165">
        <v>1233</v>
      </c>
      <c r="G99" s="165">
        <v>1233</v>
      </c>
      <c r="H99" s="165">
        <v>1233</v>
      </c>
      <c r="I99" s="165">
        <v>1233</v>
      </c>
      <c r="J99" s="165">
        <v>1233</v>
      </c>
      <c r="K99" s="166">
        <v>1233</v>
      </c>
      <c r="L99" s="165">
        <v>1233</v>
      </c>
      <c r="M99" s="165">
        <v>1233</v>
      </c>
      <c r="N99" s="165">
        <v>1233</v>
      </c>
      <c r="O99" s="165">
        <v>1233</v>
      </c>
      <c r="P99" s="165">
        <v>1233</v>
      </c>
      <c r="Q99" s="166">
        <v>1233</v>
      </c>
    </row>
    <row r="100" spans="2:17" s="88" customFormat="1" x14ac:dyDescent="0.25">
      <c r="B100" s="95"/>
      <c r="C100" s="96"/>
      <c r="D100" s="99" t="s">
        <v>222</v>
      </c>
      <c r="E100" s="101" t="s">
        <v>135</v>
      </c>
      <c r="F100" s="165">
        <v>1145</v>
      </c>
      <c r="G100" s="165">
        <v>1145</v>
      </c>
      <c r="H100" s="165">
        <v>1145</v>
      </c>
      <c r="I100" s="165">
        <v>1145</v>
      </c>
      <c r="J100" s="165">
        <v>1145</v>
      </c>
      <c r="K100" s="166">
        <v>1145</v>
      </c>
      <c r="L100" s="165">
        <v>1145</v>
      </c>
      <c r="M100" s="165">
        <v>1145</v>
      </c>
      <c r="N100" s="165">
        <v>1145</v>
      </c>
      <c r="O100" s="165">
        <v>1145</v>
      </c>
      <c r="P100" s="165">
        <v>1145</v>
      </c>
      <c r="Q100" s="166">
        <v>1145</v>
      </c>
    </row>
    <row r="101" spans="2:17" s="88" customFormat="1" x14ac:dyDescent="0.25">
      <c r="B101" s="95"/>
      <c r="C101" s="96"/>
      <c r="D101" s="99" t="s">
        <v>222</v>
      </c>
      <c r="E101" s="101" t="s">
        <v>136</v>
      </c>
      <c r="F101" s="165">
        <v>1145</v>
      </c>
      <c r="G101" s="165">
        <v>1145</v>
      </c>
      <c r="H101" s="165">
        <v>1145</v>
      </c>
      <c r="I101" s="165">
        <v>1145</v>
      </c>
      <c r="J101" s="165">
        <v>1145</v>
      </c>
      <c r="K101" s="166">
        <v>1145</v>
      </c>
      <c r="L101" s="165">
        <v>1145</v>
      </c>
      <c r="M101" s="165">
        <v>1145</v>
      </c>
      <c r="N101" s="165">
        <v>1145</v>
      </c>
      <c r="O101" s="165">
        <v>1145</v>
      </c>
      <c r="P101" s="165">
        <v>1145</v>
      </c>
      <c r="Q101" s="166">
        <v>1145</v>
      </c>
    </row>
    <row r="102" spans="2:17" s="88" customFormat="1" ht="15.75" thickBot="1" x14ac:dyDescent="0.3">
      <c r="B102" s="95"/>
      <c r="C102" s="96"/>
      <c r="D102" s="99" t="s">
        <v>222</v>
      </c>
      <c r="E102" s="102" t="s">
        <v>137</v>
      </c>
      <c r="F102" s="167">
        <v>1145</v>
      </c>
      <c r="G102" s="167">
        <v>1145</v>
      </c>
      <c r="H102" s="167">
        <v>1145</v>
      </c>
      <c r="I102" s="167">
        <v>1145</v>
      </c>
      <c r="J102" s="167">
        <v>1145</v>
      </c>
      <c r="K102" s="168">
        <v>1145</v>
      </c>
      <c r="L102" s="167">
        <v>1145</v>
      </c>
      <c r="M102" s="167">
        <v>1145</v>
      </c>
      <c r="N102" s="167">
        <v>1145</v>
      </c>
      <c r="O102" s="167">
        <v>1145</v>
      </c>
      <c r="P102" s="167">
        <v>1145</v>
      </c>
      <c r="Q102" s="168">
        <v>1145</v>
      </c>
    </row>
    <row r="103" spans="2:17" s="88" customFormat="1" x14ac:dyDescent="0.25">
      <c r="B103" s="95"/>
      <c r="C103" s="96"/>
      <c r="D103" s="99" t="s">
        <v>223</v>
      </c>
      <c r="E103" s="100" t="s">
        <v>128</v>
      </c>
      <c r="F103" s="163">
        <v>1233</v>
      </c>
      <c r="G103" s="163">
        <v>1233</v>
      </c>
      <c r="H103" s="163">
        <v>1233</v>
      </c>
      <c r="I103" s="163">
        <v>1233</v>
      </c>
      <c r="J103" s="163">
        <v>1233</v>
      </c>
      <c r="K103" s="164">
        <v>1233</v>
      </c>
      <c r="L103" s="163">
        <v>1233</v>
      </c>
      <c r="M103" s="163">
        <v>1233</v>
      </c>
      <c r="N103" s="163">
        <v>1233</v>
      </c>
      <c r="O103" s="163">
        <v>1233</v>
      </c>
      <c r="P103" s="163">
        <v>1233</v>
      </c>
      <c r="Q103" s="164">
        <v>1233</v>
      </c>
    </row>
    <row r="104" spans="2:17" s="88" customFormat="1" x14ac:dyDescent="0.25">
      <c r="B104" s="95"/>
      <c r="C104" s="96"/>
      <c r="D104" s="99" t="s">
        <v>223</v>
      </c>
      <c r="E104" s="101" t="s">
        <v>129</v>
      </c>
      <c r="F104" s="165">
        <v>1233</v>
      </c>
      <c r="G104" s="165">
        <v>1233</v>
      </c>
      <c r="H104" s="165">
        <v>1233</v>
      </c>
      <c r="I104" s="165">
        <v>1233</v>
      </c>
      <c r="J104" s="165">
        <v>1233</v>
      </c>
      <c r="K104" s="166">
        <v>1233</v>
      </c>
      <c r="L104" s="165">
        <v>1233</v>
      </c>
      <c r="M104" s="165">
        <v>1233</v>
      </c>
      <c r="N104" s="165">
        <v>1233</v>
      </c>
      <c r="O104" s="165">
        <v>1233</v>
      </c>
      <c r="P104" s="165">
        <v>1233</v>
      </c>
      <c r="Q104" s="166">
        <v>1233</v>
      </c>
    </row>
    <row r="105" spans="2:17" s="88" customFormat="1" x14ac:dyDescent="0.25">
      <c r="B105" s="91"/>
      <c r="C105" s="92"/>
      <c r="D105" s="99" t="s">
        <v>223</v>
      </c>
      <c r="E105" s="101" t="s">
        <v>130</v>
      </c>
      <c r="F105" s="165">
        <v>1233</v>
      </c>
      <c r="G105" s="165">
        <v>1233</v>
      </c>
      <c r="H105" s="165">
        <v>1233</v>
      </c>
      <c r="I105" s="165">
        <v>1233</v>
      </c>
      <c r="J105" s="165">
        <v>1233</v>
      </c>
      <c r="K105" s="166">
        <v>1233</v>
      </c>
      <c r="L105" s="165">
        <v>1233</v>
      </c>
      <c r="M105" s="165">
        <v>1233</v>
      </c>
      <c r="N105" s="165">
        <v>1233</v>
      </c>
      <c r="O105" s="165">
        <v>1233</v>
      </c>
      <c r="P105" s="165">
        <v>1233</v>
      </c>
      <c r="Q105" s="166">
        <v>1233</v>
      </c>
    </row>
    <row r="106" spans="2:17" s="88" customFormat="1" x14ac:dyDescent="0.25">
      <c r="B106" s="91"/>
      <c r="C106" s="92"/>
      <c r="D106" s="99" t="s">
        <v>223</v>
      </c>
      <c r="E106" s="101" t="s">
        <v>131</v>
      </c>
      <c r="F106" s="165">
        <v>1233</v>
      </c>
      <c r="G106" s="165">
        <v>1233</v>
      </c>
      <c r="H106" s="165">
        <v>1233</v>
      </c>
      <c r="I106" s="165">
        <v>1233</v>
      </c>
      <c r="J106" s="165">
        <v>1233</v>
      </c>
      <c r="K106" s="166">
        <v>1233</v>
      </c>
      <c r="L106" s="165">
        <v>1233</v>
      </c>
      <c r="M106" s="165">
        <v>1233</v>
      </c>
      <c r="N106" s="165">
        <v>1233</v>
      </c>
      <c r="O106" s="165">
        <v>1233</v>
      </c>
      <c r="P106" s="165">
        <v>1233</v>
      </c>
      <c r="Q106" s="166">
        <v>1233</v>
      </c>
    </row>
    <row r="107" spans="2:17" s="88" customFormat="1" x14ac:dyDescent="0.25">
      <c r="B107" s="91"/>
      <c r="C107" s="92"/>
      <c r="D107" s="99" t="s">
        <v>223</v>
      </c>
      <c r="E107" s="101" t="s">
        <v>132</v>
      </c>
      <c r="F107" s="165">
        <v>1233</v>
      </c>
      <c r="G107" s="165">
        <v>1233</v>
      </c>
      <c r="H107" s="165">
        <v>1233</v>
      </c>
      <c r="I107" s="165">
        <v>1233</v>
      </c>
      <c r="J107" s="165">
        <v>1233</v>
      </c>
      <c r="K107" s="166">
        <v>1233</v>
      </c>
      <c r="L107" s="165">
        <v>1233</v>
      </c>
      <c r="M107" s="165">
        <v>1233</v>
      </c>
      <c r="N107" s="165">
        <v>1233</v>
      </c>
      <c r="O107" s="165">
        <v>1233</v>
      </c>
      <c r="P107" s="165">
        <v>1233</v>
      </c>
      <c r="Q107" s="166">
        <v>1233</v>
      </c>
    </row>
    <row r="108" spans="2:17" s="88" customFormat="1" x14ac:dyDescent="0.25">
      <c r="B108" s="91"/>
      <c r="C108" s="92"/>
      <c r="D108" s="99" t="s">
        <v>223</v>
      </c>
      <c r="E108" s="101" t="s">
        <v>133</v>
      </c>
      <c r="F108" s="165">
        <v>1233</v>
      </c>
      <c r="G108" s="165">
        <v>1233</v>
      </c>
      <c r="H108" s="165">
        <v>1233</v>
      </c>
      <c r="I108" s="165">
        <v>1233</v>
      </c>
      <c r="J108" s="165">
        <v>1233</v>
      </c>
      <c r="K108" s="166">
        <v>1233</v>
      </c>
      <c r="L108" s="165">
        <v>1233</v>
      </c>
      <c r="M108" s="165">
        <v>1233</v>
      </c>
      <c r="N108" s="165">
        <v>1233</v>
      </c>
      <c r="O108" s="165">
        <v>1233</v>
      </c>
      <c r="P108" s="165">
        <v>1233</v>
      </c>
      <c r="Q108" s="166">
        <v>1233</v>
      </c>
    </row>
    <row r="109" spans="2:17" s="88" customFormat="1" x14ac:dyDescent="0.25">
      <c r="B109" s="89"/>
      <c r="C109" s="90"/>
      <c r="D109" s="99" t="s">
        <v>223</v>
      </c>
      <c r="E109" s="101" t="s">
        <v>134</v>
      </c>
      <c r="F109" s="165">
        <v>1233</v>
      </c>
      <c r="G109" s="165">
        <v>1233</v>
      </c>
      <c r="H109" s="165">
        <v>1233</v>
      </c>
      <c r="I109" s="165">
        <v>1233</v>
      </c>
      <c r="J109" s="165">
        <v>1233</v>
      </c>
      <c r="K109" s="166">
        <v>1233</v>
      </c>
      <c r="L109" s="165">
        <v>1233</v>
      </c>
      <c r="M109" s="165">
        <v>1233</v>
      </c>
      <c r="N109" s="165">
        <v>1233</v>
      </c>
      <c r="O109" s="165">
        <v>1233</v>
      </c>
      <c r="P109" s="165">
        <v>1233</v>
      </c>
      <c r="Q109" s="166">
        <v>1233</v>
      </c>
    </row>
    <row r="110" spans="2:17" s="88" customFormat="1" x14ac:dyDescent="0.25">
      <c r="B110" s="89"/>
      <c r="C110" s="104"/>
      <c r="D110" s="99" t="s">
        <v>223</v>
      </c>
      <c r="E110" s="101" t="s">
        <v>135</v>
      </c>
      <c r="F110" s="165">
        <v>1145</v>
      </c>
      <c r="G110" s="165">
        <v>1145</v>
      </c>
      <c r="H110" s="165">
        <v>1145</v>
      </c>
      <c r="I110" s="165">
        <v>1145</v>
      </c>
      <c r="J110" s="165">
        <v>1145</v>
      </c>
      <c r="K110" s="166">
        <v>1145</v>
      </c>
      <c r="L110" s="165">
        <v>1145</v>
      </c>
      <c r="M110" s="165">
        <v>1145</v>
      </c>
      <c r="N110" s="165">
        <v>1145</v>
      </c>
      <c r="O110" s="165">
        <v>1145</v>
      </c>
      <c r="P110" s="165">
        <v>1145</v>
      </c>
      <c r="Q110" s="166">
        <v>1145</v>
      </c>
    </row>
    <row r="111" spans="2:17" s="88" customFormat="1" x14ac:dyDescent="0.25">
      <c r="B111" s="89"/>
      <c r="C111" s="104"/>
      <c r="D111" s="99" t="s">
        <v>223</v>
      </c>
      <c r="E111" s="101" t="s">
        <v>136</v>
      </c>
      <c r="F111" s="165">
        <v>1145</v>
      </c>
      <c r="G111" s="165">
        <v>1145</v>
      </c>
      <c r="H111" s="165">
        <v>1145</v>
      </c>
      <c r="I111" s="165">
        <v>1145</v>
      </c>
      <c r="J111" s="165">
        <v>1145</v>
      </c>
      <c r="K111" s="166">
        <v>1145</v>
      </c>
      <c r="L111" s="165">
        <v>1145</v>
      </c>
      <c r="M111" s="165">
        <v>1145</v>
      </c>
      <c r="N111" s="165">
        <v>1145</v>
      </c>
      <c r="O111" s="165">
        <v>1145</v>
      </c>
      <c r="P111" s="165">
        <v>1145</v>
      </c>
      <c r="Q111" s="166">
        <v>1145</v>
      </c>
    </row>
    <row r="112" spans="2:17" s="88" customFormat="1" ht="15.75" thickBot="1" x14ac:dyDescent="0.3">
      <c r="B112" s="89"/>
      <c r="C112" s="104"/>
      <c r="D112" s="99" t="s">
        <v>223</v>
      </c>
      <c r="E112" s="102" t="s">
        <v>137</v>
      </c>
      <c r="F112" s="167">
        <v>1145</v>
      </c>
      <c r="G112" s="167">
        <v>1145</v>
      </c>
      <c r="H112" s="167">
        <v>1145</v>
      </c>
      <c r="I112" s="167">
        <v>1145</v>
      </c>
      <c r="J112" s="167">
        <v>1145</v>
      </c>
      <c r="K112" s="168">
        <v>1145</v>
      </c>
      <c r="L112" s="167">
        <v>1145</v>
      </c>
      <c r="M112" s="167">
        <v>1145</v>
      </c>
      <c r="N112" s="167">
        <v>1145</v>
      </c>
      <c r="O112" s="167">
        <v>1145</v>
      </c>
      <c r="P112" s="167">
        <v>1145</v>
      </c>
      <c r="Q112" s="168">
        <v>1145</v>
      </c>
    </row>
    <row r="113" spans="2:17" s="88" customFormat="1" x14ac:dyDescent="0.25">
      <c r="B113" s="89"/>
      <c r="C113" s="104"/>
      <c r="D113" s="99" t="s">
        <v>224</v>
      </c>
      <c r="E113" s="100" t="s">
        <v>128</v>
      </c>
      <c r="F113" s="176">
        <v>1233</v>
      </c>
      <c r="G113" s="176">
        <v>1233</v>
      </c>
      <c r="H113" s="176">
        <v>1233</v>
      </c>
      <c r="I113" s="176">
        <v>1233</v>
      </c>
      <c r="J113" s="176">
        <v>1233</v>
      </c>
      <c r="K113" s="177">
        <v>1233</v>
      </c>
      <c r="L113" s="176">
        <v>1233</v>
      </c>
      <c r="M113" s="176">
        <v>1233</v>
      </c>
      <c r="N113" s="176">
        <v>1233</v>
      </c>
      <c r="O113" s="176">
        <v>1233</v>
      </c>
      <c r="P113" s="176">
        <v>1233</v>
      </c>
      <c r="Q113" s="177">
        <v>1233</v>
      </c>
    </row>
    <row r="114" spans="2:17" s="88" customFormat="1" x14ac:dyDescent="0.25">
      <c r="B114" s="89"/>
      <c r="C114" s="104"/>
      <c r="D114" s="99" t="s">
        <v>224</v>
      </c>
      <c r="E114" s="101" t="s">
        <v>129</v>
      </c>
      <c r="F114" s="175">
        <v>1233</v>
      </c>
      <c r="G114" s="175">
        <v>1233</v>
      </c>
      <c r="H114" s="175">
        <v>1233</v>
      </c>
      <c r="I114" s="175">
        <v>1233</v>
      </c>
      <c r="J114" s="175">
        <v>1233</v>
      </c>
      <c r="K114" s="178">
        <v>1233</v>
      </c>
      <c r="L114" s="175">
        <v>1233</v>
      </c>
      <c r="M114" s="175">
        <v>1233</v>
      </c>
      <c r="N114" s="175">
        <v>1233</v>
      </c>
      <c r="O114" s="175">
        <v>1233</v>
      </c>
      <c r="P114" s="175">
        <v>1233</v>
      </c>
      <c r="Q114" s="178">
        <v>1233</v>
      </c>
    </row>
    <row r="115" spans="2:17" s="88" customFormat="1" x14ac:dyDescent="0.25">
      <c r="B115" s="89"/>
      <c r="C115" s="104"/>
      <c r="D115" s="99" t="s">
        <v>224</v>
      </c>
      <c r="E115" s="101" t="s">
        <v>130</v>
      </c>
      <c r="F115" s="175">
        <v>1233</v>
      </c>
      <c r="G115" s="175">
        <v>1233</v>
      </c>
      <c r="H115" s="175">
        <v>1233</v>
      </c>
      <c r="I115" s="175">
        <v>1233</v>
      </c>
      <c r="J115" s="175">
        <v>1233</v>
      </c>
      <c r="K115" s="178">
        <v>1233</v>
      </c>
      <c r="L115" s="175">
        <v>1233</v>
      </c>
      <c r="M115" s="175">
        <v>1233</v>
      </c>
      <c r="N115" s="175">
        <v>1233</v>
      </c>
      <c r="O115" s="175">
        <v>1233</v>
      </c>
      <c r="P115" s="175">
        <v>1233</v>
      </c>
      <c r="Q115" s="178">
        <v>1233</v>
      </c>
    </row>
    <row r="116" spans="2:17" s="88" customFormat="1" x14ac:dyDescent="0.25">
      <c r="B116" s="89"/>
      <c r="C116" s="104"/>
      <c r="D116" s="99" t="s">
        <v>224</v>
      </c>
      <c r="E116" s="101" t="s">
        <v>131</v>
      </c>
      <c r="F116" s="175">
        <v>1233</v>
      </c>
      <c r="G116" s="175">
        <v>1233</v>
      </c>
      <c r="H116" s="175">
        <v>1233</v>
      </c>
      <c r="I116" s="175">
        <v>1233</v>
      </c>
      <c r="J116" s="175">
        <v>1233</v>
      </c>
      <c r="K116" s="178">
        <v>1233</v>
      </c>
      <c r="L116" s="175">
        <v>1233</v>
      </c>
      <c r="M116" s="175">
        <v>1233</v>
      </c>
      <c r="N116" s="175">
        <v>1233</v>
      </c>
      <c r="O116" s="175">
        <v>1233</v>
      </c>
      <c r="P116" s="175">
        <v>1233</v>
      </c>
      <c r="Q116" s="178">
        <v>1233</v>
      </c>
    </row>
    <row r="117" spans="2:17" s="88" customFormat="1" x14ac:dyDescent="0.25">
      <c r="B117" s="89"/>
      <c r="C117" s="104"/>
      <c r="D117" s="99" t="s">
        <v>224</v>
      </c>
      <c r="E117" s="101" t="s">
        <v>132</v>
      </c>
      <c r="F117" s="175">
        <v>1233</v>
      </c>
      <c r="G117" s="175">
        <v>1233</v>
      </c>
      <c r="H117" s="175">
        <v>1233</v>
      </c>
      <c r="I117" s="175">
        <v>1233</v>
      </c>
      <c r="J117" s="175">
        <v>1233</v>
      </c>
      <c r="K117" s="178">
        <v>1233</v>
      </c>
      <c r="L117" s="175">
        <v>1233</v>
      </c>
      <c r="M117" s="175">
        <v>1233</v>
      </c>
      <c r="N117" s="175">
        <v>1233</v>
      </c>
      <c r="O117" s="175">
        <v>1233</v>
      </c>
      <c r="P117" s="175">
        <v>1233</v>
      </c>
      <c r="Q117" s="178">
        <v>1233</v>
      </c>
    </row>
    <row r="118" spans="2:17" s="88" customFormat="1" x14ac:dyDescent="0.25">
      <c r="B118" s="89"/>
      <c r="C118" s="104"/>
      <c r="D118" s="99" t="s">
        <v>224</v>
      </c>
      <c r="E118" s="101" t="s">
        <v>133</v>
      </c>
      <c r="F118" s="175">
        <v>1233</v>
      </c>
      <c r="G118" s="175">
        <v>1233</v>
      </c>
      <c r="H118" s="175">
        <v>1233</v>
      </c>
      <c r="I118" s="175">
        <v>1233</v>
      </c>
      <c r="J118" s="175">
        <v>1233</v>
      </c>
      <c r="K118" s="178">
        <v>1233</v>
      </c>
      <c r="L118" s="175">
        <v>1233</v>
      </c>
      <c r="M118" s="175">
        <v>1233</v>
      </c>
      <c r="N118" s="175">
        <v>1233</v>
      </c>
      <c r="O118" s="175">
        <v>1233</v>
      </c>
      <c r="P118" s="175">
        <v>1233</v>
      </c>
      <c r="Q118" s="178">
        <v>1233</v>
      </c>
    </row>
    <row r="119" spans="2:17" s="88" customFormat="1" x14ac:dyDescent="0.25">
      <c r="B119" s="89"/>
      <c r="C119" s="104"/>
      <c r="D119" s="99" t="s">
        <v>224</v>
      </c>
      <c r="E119" s="101" t="s">
        <v>134</v>
      </c>
      <c r="F119" s="175">
        <v>1233</v>
      </c>
      <c r="G119" s="175">
        <v>1233</v>
      </c>
      <c r="H119" s="175">
        <v>1233</v>
      </c>
      <c r="I119" s="175">
        <v>1233</v>
      </c>
      <c r="J119" s="175">
        <v>1233</v>
      </c>
      <c r="K119" s="178">
        <v>1233</v>
      </c>
      <c r="L119" s="175">
        <v>1233</v>
      </c>
      <c r="M119" s="175">
        <v>1233</v>
      </c>
      <c r="N119" s="175">
        <v>1233</v>
      </c>
      <c r="O119" s="175">
        <v>1233</v>
      </c>
      <c r="P119" s="175">
        <v>1233</v>
      </c>
      <c r="Q119" s="178">
        <v>1233</v>
      </c>
    </row>
    <row r="120" spans="2:17" s="88" customFormat="1" x14ac:dyDescent="0.25">
      <c r="B120" s="89"/>
      <c r="C120" s="104"/>
      <c r="D120" s="99" t="s">
        <v>224</v>
      </c>
      <c r="E120" s="101" t="s">
        <v>135</v>
      </c>
      <c r="F120" s="175">
        <v>1145</v>
      </c>
      <c r="G120" s="175">
        <v>1145</v>
      </c>
      <c r="H120" s="175">
        <v>1145</v>
      </c>
      <c r="I120" s="175">
        <v>1145</v>
      </c>
      <c r="J120" s="175">
        <v>1145</v>
      </c>
      <c r="K120" s="178">
        <v>1145</v>
      </c>
      <c r="L120" s="175">
        <v>1145</v>
      </c>
      <c r="M120" s="175">
        <v>1145</v>
      </c>
      <c r="N120" s="175">
        <v>1145</v>
      </c>
      <c r="O120" s="175">
        <v>1145</v>
      </c>
      <c r="P120" s="175">
        <v>1145</v>
      </c>
      <c r="Q120" s="178">
        <v>1145</v>
      </c>
    </row>
    <row r="121" spans="2:17" s="88" customFormat="1" x14ac:dyDescent="0.25">
      <c r="B121" s="89"/>
      <c r="C121" s="104"/>
      <c r="D121" s="99" t="s">
        <v>224</v>
      </c>
      <c r="E121" s="101" t="s">
        <v>136</v>
      </c>
      <c r="F121" s="175">
        <v>1145</v>
      </c>
      <c r="G121" s="175">
        <v>1145</v>
      </c>
      <c r="H121" s="175">
        <v>1145</v>
      </c>
      <c r="I121" s="175">
        <v>1145</v>
      </c>
      <c r="J121" s="175">
        <v>1145</v>
      </c>
      <c r="K121" s="178">
        <v>1145</v>
      </c>
      <c r="L121" s="175">
        <v>1145</v>
      </c>
      <c r="M121" s="175">
        <v>1145</v>
      </c>
      <c r="N121" s="175">
        <v>1145</v>
      </c>
      <c r="O121" s="175">
        <v>1145</v>
      </c>
      <c r="P121" s="175">
        <v>1145</v>
      </c>
      <c r="Q121" s="178">
        <v>1145</v>
      </c>
    </row>
    <row r="122" spans="2:17" s="88" customFormat="1" ht="15.75" thickBot="1" x14ac:dyDescent="0.3">
      <c r="B122" s="89"/>
      <c r="C122" s="104"/>
      <c r="D122" s="99" t="s">
        <v>224</v>
      </c>
      <c r="E122" s="102" t="s">
        <v>137</v>
      </c>
      <c r="F122" s="179">
        <v>1145</v>
      </c>
      <c r="G122" s="179">
        <v>1145</v>
      </c>
      <c r="H122" s="179">
        <v>1145</v>
      </c>
      <c r="I122" s="179">
        <v>1145</v>
      </c>
      <c r="J122" s="179">
        <v>1145</v>
      </c>
      <c r="K122" s="180">
        <v>1145</v>
      </c>
      <c r="L122" s="179">
        <v>1145</v>
      </c>
      <c r="M122" s="179">
        <v>1145</v>
      </c>
      <c r="N122" s="179">
        <v>1145</v>
      </c>
      <c r="O122" s="179">
        <v>1145</v>
      </c>
      <c r="P122" s="179">
        <v>1145</v>
      </c>
      <c r="Q122" s="180">
        <v>1145</v>
      </c>
    </row>
    <row r="123" spans="2:17" s="88" customFormat="1" x14ac:dyDescent="0.25">
      <c r="B123" s="89"/>
      <c r="C123" s="104"/>
      <c r="D123" s="99" t="s">
        <v>225</v>
      </c>
      <c r="E123" s="100" t="s">
        <v>128</v>
      </c>
      <c r="F123" s="176">
        <v>1233</v>
      </c>
      <c r="G123" s="176">
        <v>1233</v>
      </c>
      <c r="H123" s="176">
        <v>1233</v>
      </c>
      <c r="I123" s="176">
        <v>1233</v>
      </c>
      <c r="J123" s="176">
        <v>1233</v>
      </c>
      <c r="K123" s="177">
        <v>1233</v>
      </c>
      <c r="L123" s="176">
        <v>1233</v>
      </c>
      <c r="M123" s="176">
        <v>1233</v>
      </c>
      <c r="N123" s="176">
        <v>1233</v>
      </c>
      <c r="O123" s="176">
        <v>1233</v>
      </c>
      <c r="P123" s="176">
        <v>1233</v>
      </c>
      <c r="Q123" s="177">
        <v>1233</v>
      </c>
    </row>
    <row r="124" spans="2:17" s="88" customFormat="1" x14ac:dyDescent="0.25">
      <c r="B124" s="89"/>
      <c r="C124" s="104"/>
      <c r="D124" s="99" t="s">
        <v>225</v>
      </c>
      <c r="E124" s="101" t="s">
        <v>129</v>
      </c>
      <c r="F124" s="175">
        <v>1233</v>
      </c>
      <c r="G124" s="175">
        <v>1233</v>
      </c>
      <c r="H124" s="175">
        <v>1233</v>
      </c>
      <c r="I124" s="175">
        <v>1233</v>
      </c>
      <c r="J124" s="175">
        <v>1233</v>
      </c>
      <c r="K124" s="178">
        <v>1233</v>
      </c>
      <c r="L124" s="175">
        <v>1233</v>
      </c>
      <c r="M124" s="175">
        <v>1233</v>
      </c>
      <c r="N124" s="175">
        <v>1233</v>
      </c>
      <c r="O124" s="175">
        <v>1233</v>
      </c>
      <c r="P124" s="175">
        <v>1233</v>
      </c>
      <c r="Q124" s="178">
        <v>1233</v>
      </c>
    </row>
    <row r="125" spans="2:17" s="88" customFormat="1" x14ac:dyDescent="0.25">
      <c r="B125" s="89"/>
      <c r="C125" s="104"/>
      <c r="D125" s="99" t="s">
        <v>225</v>
      </c>
      <c r="E125" s="101" t="s">
        <v>130</v>
      </c>
      <c r="F125" s="175">
        <v>1233</v>
      </c>
      <c r="G125" s="175">
        <v>1233</v>
      </c>
      <c r="H125" s="175">
        <v>1233</v>
      </c>
      <c r="I125" s="175">
        <v>1233</v>
      </c>
      <c r="J125" s="175">
        <v>1233</v>
      </c>
      <c r="K125" s="178">
        <v>1233</v>
      </c>
      <c r="L125" s="175">
        <v>1233</v>
      </c>
      <c r="M125" s="175">
        <v>1233</v>
      </c>
      <c r="N125" s="175">
        <v>1233</v>
      </c>
      <c r="O125" s="175">
        <v>1233</v>
      </c>
      <c r="P125" s="175">
        <v>1233</v>
      </c>
      <c r="Q125" s="178">
        <v>1233</v>
      </c>
    </row>
    <row r="126" spans="2:17" s="88" customFormat="1" x14ac:dyDescent="0.25">
      <c r="B126" s="89"/>
      <c r="C126" s="104"/>
      <c r="D126" s="99" t="s">
        <v>225</v>
      </c>
      <c r="E126" s="101" t="s">
        <v>131</v>
      </c>
      <c r="F126" s="175">
        <v>1233</v>
      </c>
      <c r="G126" s="175">
        <v>1233</v>
      </c>
      <c r="H126" s="175">
        <v>1233</v>
      </c>
      <c r="I126" s="175">
        <v>1233</v>
      </c>
      <c r="J126" s="175">
        <v>1233</v>
      </c>
      <c r="K126" s="178">
        <v>1233</v>
      </c>
      <c r="L126" s="175">
        <v>1233</v>
      </c>
      <c r="M126" s="175">
        <v>1233</v>
      </c>
      <c r="N126" s="175">
        <v>1233</v>
      </c>
      <c r="O126" s="175">
        <v>1233</v>
      </c>
      <c r="P126" s="175">
        <v>1233</v>
      </c>
      <c r="Q126" s="178">
        <v>1233</v>
      </c>
    </row>
    <row r="127" spans="2:17" s="88" customFormat="1" x14ac:dyDescent="0.25">
      <c r="B127" s="89"/>
      <c r="C127" s="104"/>
      <c r="D127" s="99" t="s">
        <v>225</v>
      </c>
      <c r="E127" s="101" t="s">
        <v>132</v>
      </c>
      <c r="F127" s="175">
        <v>1233</v>
      </c>
      <c r="G127" s="175">
        <v>1233</v>
      </c>
      <c r="H127" s="175">
        <v>1233</v>
      </c>
      <c r="I127" s="175">
        <v>1233</v>
      </c>
      <c r="J127" s="175">
        <v>1233</v>
      </c>
      <c r="K127" s="178">
        <v>1233</v>
      </c>
      <c r="L127" s="175">
        <v>1233</v>
      </c>
      <c r="M127" s="175">
        <v>1233</v>
      </c>
      <c r="N127" s="175">
        <v>1233</v>
      </c>
      <c r="O127" s="175">
        <v>1233</v>
      </c>
      <c r="P127" s="175">
        <v>1233</v>
      </c>
      <c r="Q127" s="178">
        <v>1233</v>
      </c>
    </row>
    <row r="128" spans="2:17" s="88" customFormat="1" x14ac:dyDescent="0.25">
      <c r="B128" s="89"/>
      <c r="C128" s="104"/>
      <c r="D128" s="99" t="s">
        <v>225</v>
      </c>
      <c r="E128" s="101" t="s">
        <v>133</v>
      </c>
      <c r="F128" s="175">
        <v>1233</v>
      </c>
      <c r="G128" s="175">
        <v>1233</v>
      </c>
      <c r="H128" s="175">
        <v>1233</v>
      </c>
      <c r="I128" s="175">
        <v>1233</v>
      </c>
      <c r="J128" s="175">
        <v>1233</v>
      </c>
      <c r="K128" s="178">
        <v>1233</v>
      </c>
      <c r="L128" s="175">
        <v>1233</v>
      </c>
      <c r="M128" s="175">
        <v>1233</v>
      </c>
      <c r="N128" s="175">
        <v>1233</v>
      </c>
      <c r="O128" s="175">
        <v>1233</v>
      </c>
      <c r="P128" s="175">
        <v>1233</v>
      </c>
      <c r="Q128" s="178">
        <v>1233</v>
      </c>
    </row>
    <row r="129" spans="1:17" s="88" customFormat="1" x14ac:dyDescent="0.25">
      <c r="B129" s="89"/>
      <c r="C129" s="104"/>
      <c r="D129" s="99" t="s">
        <v>225</v>
      </c>
      <c r="E129" s="101" t="s">
        <v>134</v>
      </c>
      <c r="F129" s="175">
        <v>1233</v>
      </c>
      <c r="G129" s="175">
        <v>1233</v>
      </c>
      <c r="H129" s="175">
        <v>1233</v>
      </c>
      <c r="I129" s="175">
        <v>1233</v>
      </c>
      <c r="J129" s="175">
        <v>1233</v>
      </c>
      <c r="K129" s="178">
        <v>1233</v>
      </c>
      <c r="L129" s="175">
        <v>1233</v>
      </c>
      <c r="M129" s="175">
        <v>1233</v>
      </c>
      <c r="N129" s="175">
        <v>1233</v>
      </c>
      <c r="O129" s="175">
        <v>1233</v>
      </c>
      <c r="P129" s="175">
        <v>1233</v>
      </c>
      <c r="Q129" s="178">
        <v>1233</v>
      </c>
    </row>
    <row r="130" spans="1:17" s="88" customFormat="1" x14ac:dyDescent="0.25">
      <c r="B130" s="89"/>
      <c r="C130" s="104"/>
      <c r="D130" s="99" t="s">
        <v>225</v>
      </c>
      <c r="E130" s="101" t="s">
        <v>135</v>
      </c>
      <c r="F130" s="175">
        <v>1145</v>
      </c>
      <c r="G130" s="175">
        <v>1145</v>
      </c>
      <c r="H130" s="175">
        <v>1145</v>
      </c>
      <c r="I130" s="175">
        <v>1145</v>
      </c>
      <c r="J130" s="175">
        <v>1145</v>
      </c>
      <c r="K130" s="178">
        <v>1145</v>
      </c>
      <c r="L130" s="175">
        <v>1145</v>
      </c>
      <c r="M130" s="175">
        <v>1145</v>
      </c>
      <c r="N130" s="175">
        <v>1145</v>
      </c>
      <c r="O130" s="175">
        <v>1145</v>
      </c>
      <c r="P130" s="175">
        <v>1145</v>
      </c>
      <c r="Q130" s="178">
        <v>1145</v>
      </c>
    </row>
    <row r="131" spans="1:17" s="88" customFormat="1" x14ac:dyDescent="0.25">
      <c r="B131" s="89"/>
      <c r="C131" s="104"/>
      <c r="D131" s="99" t="s">
        <v>225</v>
      </c>
      <c r="E131" s="101" t="s">
        <v>136</v>
      </c>
      <c r="F131" s="175">
        <v>1145</v>
      </c>
      <c r="G131" s="175">
        <v>1145</v>
      </c>
      <c r="H131" s="175">
        <v>1145</v>
      </c>
      <c r="I131" s="175">
        <v>1145</v>
      </c>
      <c r="J131" s="175">
        <v>1145</v>
      </c>
      <c r="K131" s="178">
        <v>1145</v>
      </c>
      <c r="L131" s="175">
        <v>1145</v>
      </c>
      <c r="M131" s="175">
        <v>1145</v>
      </c>
      <c r="N131" s="175">
        <v>1145</v>
      </c>
      <c r="O131" s="175">
        <v>1145</v>
      </c>
      <c r="P131" s="175">
        <v>1145</v>
      </c>
      <c r="Q131" s="178">
        <v>1145</v>
      </c>
    </row>
    <row r="132" spans="1:17" s="88" customFormat="1" ht="15.75" thickBot="1" x14ac:dyDescent="0.3">
      <c r="B132" s="89"/>
      <c r="C132" s="104"/>
      <c r="D132" s="99" t="s">
        <v>225</v>
      </c>
      <c r="E132" s="102" t="s">
        <v>137</v>
      </c>
      <c r="F132" s="179">
        <v>1145</v>
      </c>
      <c r="G132" s="179">
        <v>1145</v>
      </c>
      <c r="H132" s="179">
        <v>1145</v>
      </c>
      <c r="I132" s="179">
        <v>1145</v>
      </c>
      <c r="J132" s="179">
        <v>1145</v>
      </c>
      <c r="K132" s="180">
        <v>1145</v>
      </c>
      <c r="L132" s="179">
        <v>1145</v>
      </c>
      <c r="M132" s="179">
        <v>1145</v>
      </c>
      <c r="N132" s="179">
        <v>1145</v>
      </c>
      <c r="O132" s="179">
        <v>1145</v>
      </c>
      <c r="P132" s="179">
        <v>1145</v>
      </c>
      <c r="Q132" s="180">
        <v>1145</v>
      </c>
    </row>
    <row r="135" spans="1:17" x14ac:dyDescent="0.25">
      <c r="A135" s="7"/>
      <c r="B135" s="8" t="s">
        <v>175</v>
      </c>
      <c r="C135" s="53"/>
      <c r="D135" s="7"/>
      <c r="E135" s="55">
        <v>1</v>
      </c>
      <c r="F135" s="55">
        <v>2</v>
      </c>
      <c r="G135" s="55">
        <v>3</v>
      </c>
      <c r="H135" s="55">
        <v>4</v>
      </c>
      <c r="I135" s="55">
        <v>5</v>
      </c>
      <c r="J135" s="55">
        <v>6</v>
      </c>
      <c r="K135" s="55">
        <v>7</v>
      </c>
      <c r="L135" s="55">
        <v>8</v>
      </c>
      <c r="M135" s="55">
        <v>9</v>
      </c>
      <c r="N135" s="55">
        <v>10</v>
      </c>
      <c r="O135" s="55">
        <v>11</v>
      </c>
      <c r="P135" s="55">
        <v>12</v>
      </c>
    </row>
    <row r="136" spans="1:17" ht="15" customHeight="1" x14ac:dyDescent="0.25">
      <c r="A136" s="7"/>
      <c r="B136" s="8" t="s">
        <v>235</v>
      </c>
      <c r="C136" s="44"/>
      <c r="D136" s="57" t="s">
        <v>154</v>
      </c>
      <c r="E136" s="70"/>
      <c r="F136" s="70"/>
      <c r="G136" s="70"/>
      <c r="H136" s="70"/>
      <c r="I136" s="70"/>
      <c r="J136" s="70"/>
      <c r="K136" s="70"/>
      <c r="L136" s="70"/>
      <c r="M136" s="70"/>
      <c r="N136" s="70"/>
      <c r="O136" s="70"/>
      <c r="P136" s="70"/>
    </row>
    <row r="137" spans="1:17" x14ac:dyDescent="0.25">
      <c r="A137" s="7"/>
      <c r="B137" s="8" t="s">
        <v>239</v>
      </c>
      <c r="C137" s="45"/>
      <c r="D137" s="31" t="s">
        <v>155</v>
      </c>
      <c r="E137" s="70"/>
      <c r="F137" s="70"/>
      <c r="G137" s="70"/>
      <c r="H137" s="70"/>
      <c r="I137" s="70"/>
      <c r="J137" s="70"/>
      <c r="K137" s="70"/>
      <c r="L137" s="70"/>
      <c r="M137" s="70"/>
      <c r="N137" s="70"/>
      <c r="O137" s="70"/>
      <c r="P137" s="70"/>
    </row>
    <row r="138" spans="1:17" x14ac:dyDescent="0.25">
      <c r="A138" s="7"/>
      <c r="C138" s="45"/>
      <c r="D138" s="31" t="s">
        <v>156</v>
      </c>
      <c r="E138" s="70">
        <v>743</v>
      </c>
      <c r="F138" s="70">
        <v>743</v>
      </c>
      <c r="G138" s="70">
        <v>743</v>
      </c>
      <c r="H138" s="70">
        <v>743</v>
      </c>
      <c r="I138" s="70">
        <v>743</v>
      </c>
      <c r="J138" s="70">
        <v>743</v>
      </c>
      <c r="K138" s="70">
        <v>743</v>
      </c>
      <c r="L138" s="70">
        <v>743</v>
      </c>
      <c r="M138" s="70">
        <v>743</v>
      </c>
      <c r="N138" s="70">
        <v>743</v>
      </c>
      <c r="O138" s="70">
        <v>743</v>
      </c>
      <c r="P138" s="70">
        <v>743</v>
      </c>
    </row>
    <row r="139" spans="1:17" x14ac:dyDescent="0.25">
      <c r="D139" s="31" t="s">
        <v>157</v>
      </c>
      <c r="E139" s="70"/>
      <c r="F139" s="70"/>
      <c r="G139" s="70"/>
      <c r="H139" s="70"/>
      <c r="I139" s="70"/>
      <c r="J139" s="70"/>
    </row>
    <row r="140" spans="1:17" x14ac:dyDescent="0.25">
      <c r="D140" s="31" t="s">
        <v>158</v>
      </c>
      <c r="E140" s="70"/>
      <c r="F140" s="70"/>
      <c r="G140" s="70"/>
      <c r="H140" s="70"/>
      <c r="I140" s="70"/>
      <c r="J140" s="70"/>
    </row>
    <row r="141" spans="1:17" x14ac:dyDescent="0.25">
      <c r="D141" s="31" t="s">
        <v>159</v>
      </c>
      <c r="E141" s="70"/>
      <c r="F141" s="70"/>
      <c r="G141" s="70"/>
      <c r="H141" s="70"/>
      <c r="I141" s="70"/>
      <c r="J141" s="70"/>
    </row>
    <row r="142" spans="1:17" x14ac:dyDescent="0.25">
      <c r="D142" s="31" t="s">
        <v>160</v>
      </c>
      <c r="E142" s="70"/>
      <c r="F142" s="70"/>
      <c r="G142" s="70"/>
      <c r="H142" s="70"/>
      <c r="I142" s="70"/>
      <c r="J142" s="70"/>
    </row>
    <row r="143" spans="1:17" x14ac:dyDescent="0.25">
      <c r="D143" s="31" t="s">
        <v>165</v>
      </c>
      <c r="E143" s="70"/>
      <c r="F143" s="70"/>
      <c r="G143" s="70"/>
      <c r="H143" s="70"/>
      <c r="I143" s="70"/>
      <c r="J143" s="70"/>
    </row>
    <row r="145" spans="2:10" x14ac:dyDescent="0.25"/>
    <row r="150" spans="2:10" x14ac:dyDescent="0.25">
      <c r="B150" s="8"/>
      <c r="C150" s="53"/>
    </row>
    <row r="151" spans="2:10" x14ac:dyDescent="0.25">
      <c r="C151" s="202"/>
      <c r="D151" s="7"/>
      <c r="E151" s="40"/>
      <c r="F151" s="40"/>
      <c r="G151" s="40"/>
      <c r="H151" s="40"/>
      <c r="I151" s="40"/>
      <c r="J151" s="40"/>
    </row>
    <row r="152" spans="2:10" x14ac:dyDescent="0.25">
      <c r="C152" s="203"/>
      <c r="D152" s="7"/>
      <c r="E152" s="40"/>
      <c r="F152" s="40"/>
      <c r="G152" s="40"/>
      <c r="H152" s="40"/>
      <c r="I152" s="40"/>
      <c r="J152" s="40"/>
    </row>
    <row r="153" spans="2:10" x14ac:dyDescent="0.25">
      <c r="C153" s="203"/>
      <c r="D153" s="7"/>
      <c r="E153" s="40"/>
      <c r="F153" s="40"/>
      <c r="G153" s="40"/>
      <c r="H153" s="40"/>
      <c r="I153" s="40"/>
      <c r="J153" s="40"/>
    </row>
  </sheetData>
  <mergeCells count="1">
    <mergeCell ref="C151:C153"/>
  </mergeCells>
  <pageMargins left="0.70866141732283472" right="0.70866141732283472" top="0.74803149606299213" bottom="0.74803149606299213" header="0.31496062992125984" footer="0.31496062992125984"/>
  <pageSetup paperSize="9" scale="55" fitToHeight="0" orientation="portrait" r:id="rId1"/>
  <rowBreaks count="1" manualBreakCount="1">
    <brk id="68" max="16383" man="1"/>
  </rowBreaks>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B1:P21"/>
  <sheetViews>
    <sheetView workbookViewId="0">
      <selection activeCell="O20" sqref="O20"/>
    </sheetView>
  </sheetViews>
  <sheetFormatPr defaultRowHeight="15" x14ac:dyDescent="0.25"/>
  <cols>
    <col min="2" max="2" width="13.42578125" style="7" bestFit="1" customWidth="1"/>
    <col min="3" max="3" width="7.140625" style="28" bestFit="1" customWidth="1"/>
    <col min="4" max="4" width="13.42578125" style="28" customWidth="1"/>
    <col min="5" max="14" width="8.85546875" style="7"/>
  </cols>
  <sheetData>
    <row r="1" spans="2:16" ht="23.25" x14ac:dyDescent="0.35">
      <c r="B1" s="37" t="s">
        <v>174</v>
      </c>
      <c r="C1" s="34"/>
      <c r="D1" s="34"/>
    </row>
    <row r="3" spans="2:16" x14ac:dyDescent="0.25">
      <c r="B3" s="43"/>
      <c r="C3" s="45"/>
      <c r="D3" s="32"/>
      <c r="E3" s="41"/>
      <c r="F3" s="41"/>
      <c r="G3" s="41"/>
      <c r="H3" s="41"/>
      <c r="I3" s="41"/>
      <c r="J3" s="41"/>
    </row>
    <row r="4" spans="2:16" x14ac:dyDescent="0.25">
      <c r="B4" s="8" t="s">
        <v>321</v>
      </c>
      <c r="C4" s="45"/>
      <c r="D4" s="32"/>
      <c r="E4" s="41"/>
      <c r="F4" s="41"/>
      <c r="G4" s="41"/>
      <c r="H4" s="41"/>
      <c r="I4" s="41"/>
      <c r="J4" s="41"/>
    </row>
    <row r="5" spans="2:16" x14ac:dyDescent="0.25">
      <c r="B5" s="8" t="s">
        <v>237</v>
      </c>
      <c r="D5" s="8"/>
      <c r="E5" s="8">
        <v>1</v>
      </c>
      <c r="F5" s="8">
        <v>2</v>
      </c>
      <c r="G5" s="8">
        <v>3</v>
      </c>
      <c r="H5" s="8">
        <v>4</v>
      </c>
      <c r="I5" s="8">
        <v>5</v>
      </c>
      <c r="J5" s="8">
        <v>6</v>
      </c>
      <c r="K5" s="8">
        <v>7</v>
      </c>
      <c r="L5" s="8">
        <v>8</v>
      </c>
      <c r="M5" s="8">
        <v>9</v>
      </c>
      <c r="N5" s="8">
        <v>10</v>
      </c>
      <c r="O5" s="8">
        <v>11</v>
      </c>
      <c r="P5" s="8">
        <v>12</v>
      </c>
    </row>
    <row r="6" spans="2:16" x14ac:dyDescent="0.25">
      <c r="B6" s="204"/>
      <c r="C6" s="202" t="s">
        <v>213</v>
      </c>
      <c r="D6" s="32" t="s">
        <v>154</v>
      </c>
      <c r="E6" s="24">
        <v>68</v>
      </c>
      <c r="F6" s="65">
        <v>68</v>
      </c>
      <c r="G6" s="65">
        <v>68</v>
      </c>
      <c r="H6" s="65">
        <v>68</v>
      </c>
      <c r="I6" s="65">
        <v>68</v>
      </c>
      <c r="J6" s="65">
        <v>68</v>
      </c>
      <c r="K6" s="74">
        <v>68</v>
      </c>
      <c r="L6" s="74">
        <v>68</v>
      </c>
      <c r="M6" s="74">
        <v>68</v>
      </c>
      <c r="N6" s="74">
        <v>68</v>
      </c>
      <c r="O6" s="74">
        <v>68</v>
      </c>
      <c r="P6" s="74">
        <v>68</v>
      </c>
    </row>
    <row r="7" spans="2:16" x14ac:dyDescent="0.25">
      <c r="B7" s="204"/>
      <c r="C7" s="203"/>
      <c r="D7" s="32" t="s">
        <v>155</v>
      </c>
      <c r="E7" s="24">
        <v>480</v>
      </c>
      <c r="F7" s="65">
        <v>480</v>
      </c>
      <c r="G7" s="65">
        <v>480</v>
      </c>
      <c r="H7" s="65">
        <v>480</v>
      </c>
      <c r="I7" s="65">
        <v>480</v>
      </c>
      <c r="J7" s="65">
        <v>480</v>
      </c>
      <c r="K7" s="74">
        <v>480</v>
      </c>
      <c r="L7" s="74">
        <v>480</v>
      </c>
      <c r="M7" s="74">
        <v>480</v>
      </c>
      <c r="N7" s="74">
        <v>480</v>
      </c>
      <c r="O7" s="74">
        <v>480</v>
      </c>
      <c r="P7" s="74">
        <v>480</v>
      </c>
    </row>
    <row r="8" spans="2:16" x14ac:dyDescent="0.25">
      <c r="B8" s="204"/>
      <c r="C8" s="203"/>
      <c r="D8" s="32" t="s">
        <v>156</v>
      </c>
      <c r="E8" s="24">
        <v>743</v>
      </c>
      <c r="F8" s="65">
        <v>743</v>
      </c>
      <c r="G8" s="65">
        <v>743</v>
      </c>
      <c r="H8" s="65">
        <v>743</v>
      </c>
      <c r="I8" s="65">
        <v>743</v>
      </c>
      <c r="J8" s="65">
        <v>743</v>
      </c>
      <c r="K8" s="74">
        <v>743</v>
      </c>
      <c r="L8" s="74">
        <v>743</v>
      </c>
      <c r="M8" s="74">
        <v>743</v>
      </c>
      <c r="N8" s="74">
        <v>743</v>
      </c>
      <c r="O8" s="74">
        <v>743</v>
      </c>
      <c r="P8" s="74">
        <v>743</v>
      </c>
    </row>
    <row r="9" spans="2:16" x14ac:dyDescent="0.25">
      <c r="B9" s="204"/>
      <c r="C9" s="203"/>
      <c r="D9" s="32" t="s">
        <v>157</v>
      </c>
      <c r="E9" s="24">
        <v>659</v>
      </c>
      <c r="F9" s="65">
        <v>659</v>
      </c>
      <c r="G9" s="65">
        <v>659</v>
      </c>
      <c r="H9" s="65">
        <v>659</v>
      </c>
      <c r="I9" s="65">
        <v>659</v>
      </c>
      <c r="J9" s="65">
        <v>659</v>
      </c>
      <c r="K9" s="74">
        <v>659</v>
      </c>
      <c r="L9" s="74">
        <v>659</v>
      </c>
      <c r="M9" s="74">
        <v>659</v>
      </c>
      <c r="N9" s="74">
        <v>659</v>
      </c>
      <c r="O9" s="74">
        <v>659</v>
      </c>
      <c r="P9" s="74">
        <v>659</v>
      </c>
    </row>
    <row r="10" spans="2:16" x14ac:dyDescent="0.25">
      <c r="B10" s="204"/>
      <c r="C10" s="203"/>
      <c r="D10" s="32" t="s">
        <v>158</v>
      </c>
      <c r="E10" s="63">
        <v>0</v>
      </c>
      <c r="F10" s="65">
        <v>0</v>
      </c>
      <c r="G10" s="65">
        <v>0</v>
      </c>
      <c r="H10" s="65">
        <v>0</v>
      </c>
      <c r="I10" s="65">
        <v>0</v>
      </c>
      <c r="J10" s="65">
        <v>0</v>
      </c>
      <c r="K10" s="74">
        <v>0</v>
      </c>
      <c r="L10" s="74">
        <v>0</v>
      </c>
      <c r="M10" s="74">
        <v>0</v>
      </c>
      <c r="N10" s="74">
        <v>0</v>
      </c>
      <c r="O10" s="74">
        <v>0</v>
      </c>
      <c r="P10" s="74">
        <v>0</v>
      </c>
    </row>
    <row r="11" spans="2:16" x14ac:dyDescent="0.25">
      <c r="B11" s="204"/>
      <c r="C11" s="203"/>
      <c r="D11" s="32" t="s">
        <v>159</v>
      </c>
      <c r="E11" s="63">
        <v>0</v>
      </c>
      <c r="F11" s="65">
        <v>0</v>
      </c>
      <c r="G11" s="65">
        <v>0</v>
      </c>
      <c r="H11" s="65">
        <v>0</v>
      </c>
      <c r="I11" s="65">
        <v>0</v>
      </c>
      <c r="J11" s="65">
        <v>0</v>
      </c>
      <c r="K11" s="74">
        <v>0</v>
      </c>
      <c r="L11" s="74">
        <v>0</v>
      </c>
      <c r="M11" s="74">
        <v>0</v>
      </c>
      <c r="N11" s="74">
        <v>0</v>
      </c>
      <c r="O11" s="74">
        <v>0</v>
      </c>
      <c r="P11" s="74">
        <v>0</v>
      </c>
    </row>
    <row r="12" spans="2:16" x14ac:dyDescent="0.25">
      <c r="B12" s="204"/>
      <c r="C12" s="203"/>
      <c r="D12" s="32" t="s">
        <v>160</v>
      </c>
      <c r="E12" s="24">
        <v>0</v>
      </c>
      <c r="F12" s="65">
        <v>0</v>
      </c>
      <c r="G12" s="65">
        <v>0</v>
      </c>
      <c r="H12" s="65">
        <v>0</v>
      </c>
      <c r="I12" s="65">
        <v>0</v>
      </c>
      <c r="J12" s="65">
        <v>0</v>
      </c>
      <c r="K12" s="74">
        <v>0</v>
      </c>
      <c r="L12" s="74">
        <v>0</v>
      </c>
      <c r="M12" s="74">
        <v>0</v>
      </c>
      <c r="N12" s="74">
        <v>0</v>
      </c>
      <c r="O12" s="74">
        <v>0</v>
      </c>
      <c r="P12" s="74">
        <v>0</v>
      </c>
    </row>
    <row r="13" spans="2:16" x14ac:dyDescent="0.25">
      <c r="B13" s="204"/>
      <c r="C13" s="203"/>
      <c r="D13" s="32" t="s">
        <v>165</v>
      </c>
      <c r="E13" s="63">
        <v>0</v>
      </c>
      <c r="F13" s="65">
        <v>0</v>
      </c>
      <c r="G13" s="65">
        <v>0</v>
      </c>
      <c r="H13" s="65">
        <v>0</v>
      </c>
      <c r="I13" s="65">
        <v>0</v>
      </c>
      <c r="J13" s="65">
        <v>0</v>
      </c>
      <c r="K13" s="74">
        <v>0</v>
      </c>
      <c r="L13" s="74">
        <v>0</v>
      </c>
      <c r="M13" s="74">
        <v>0</v>
      </c>
      <c r="N13" s="74">
        <v>0</v>
      </c>
      <c r="O13" s="74">
        <v>0</v>
      </c>
      <c r="P13" s="74">
        <v>0</v>
      </c>
    </row>
    <row r="15" spans="2:16" x14ac:dyDescent="0.25">
      <c r="B15" s="38" t="s">
        <v>320</v>
      </c>
    </row>
    <row r="16" spans="2:16" x14ac:dyDescent="0.25">
      <c r="D16" s="8" t="s">
        <v>154</v>
      </c>
      <c r="E16" s="8" t="s">
        <v>155</v>
      </c>
      <c r="F16" s="8" t="s">
        <v>156</v>
      </c>
      <c r="G16" s="8" t="s">
        <v>157</v>
      </c>
      <c r="H16" s="8" t="s">
        <v>158</v>
      </c>
      <c r="I16" s="8" t="s">
        <v>159</v>
      </c>
      <c r="J16" s="8" t="s">
        <v>160</v>
      </c>
      <c r="K16" s="8" t="s">
        <v>165</v>
      </c>
    </row>
    <row r="17" spans="2:14" x14ac:dyDescent="0.25">
      <c r="B17" s="8" t="s">
        <v>243</v>
      </c>
      <c r="C17" s="28" t="s">
        <v>209</v>
      </c>
      <c r="D17" s="28">
        <v>12</v>
      </c>
      <c r="E17" s="7">
        <v>0.48</v>
      </c>
      <c r="F17" s="7">
        <v>0</v>
      </c>
      <c r="G17" s="7">
        <v>7</v>
      </c>
      <c r="H17" s="7">
        <v>0</v>
      </c>
      <c r="I17" s="7">
        <v>0</v>
      </c>
      <c r="J17" s="7">
        <v>0</v>
      </c>
      <c r="K17" s="7">
        <v>0</v>
      </c>
    </row>
    <row r="18" spans="2:14" s="62" customFormat="1" x14ac:dyDescent="0.25">
      <c r="B18" s="8"/>
      <c r="C18" s="28"/>
      <c r="D18" s="28"/>
      <c r="E18" s="7"/>
      <c r="F18" s="7"/>
      <c r="G18" s="7"/>
      <c r="H18" s="7"/>
      <c r="I18" s="7"/>
      <c r="J18" s="7"/>
      <c r="K18" s="7"/>
      <c r="L18" s="7"/>
      <c r="M18" s="7"/>
      <c r="N18" s="7"/>
    </row>
    <row r="19" spans="2:14" s="62" customFormat="1" x14ac:dyDescent="0.25">
      <c r="B19" s="38" t="s">
        <v>322</v>
      </c>
      <c r="C19" s="28"/>
      <c r="D19" s="28"/>
      <c r="E19" s="7"/>
      <c r="F19" s="7"/>
      <c r="G19" s="7"/>
      <c r="H19" s="7"/>
      <c r="I19" s="7"/>
      <c r="J19" s="7"/>
      <c r="K19" s="7"/>
      <c r="L19" s="7"/>
      <c r="M19" s="7"/>
      <c r="N19" s="7"/>
    </row>
    <row r="20" spans="2:14" x14ac:dyDescent="0.25">
      <c r="D20" s="8" t="s">
        <v>154</v>
      </c>
      <c r="E20" s="8" t="s">
        <v>155</v>
      </c>
      <c r="F20" s="8" t="s">
        <v>156</v>
      </c>
      <c r="G20" s="8" t="s">
        <v>157</v>
      </c>
      <c r="H20" s="8" t="s">
        <v>158</v>
      </c>
      <c r="I20" s="8" t="s">
        <v>159</v>
      </c>
      <c r="J20" s="8" t="s">
        <v>160</v>
      </c>
      <c r="K20" s="8" t="s">
        <v>165</v>
      </c>
    </row>
    <row r="21" spans="2:14" x14ac:dyDescent="0.25">
      <c r="B21" s="8" t="s">
        <v>244</v>
      </c>
      <c r="C21" s="28" t="s">
        <v>209</v>
      </c>
      <c r="D21" s="28">
        <v>12</v>
      </c>
      <c r="E21" s="7">
        <v>0</v>
      </c>
      <c r="F21" s="7">
        <v>0</v>
      </c>
      <c r="G21" s="7">
        <v>0</v>
      </c>
      <c r="H21" s="7">
        <v>0</v>
      </c>
      <c r="I21" s="7">
        <v>0</v>
      </c>
      <c r="J21" s="7">
        <v>0</v>
      </c>
      <c r="K21" s="7">
        <v>0</v>
      </c>
    </row>
  </sheetData>
  <mergeCells count="2">
    <mergeCell ref="B6:B13"/>
    <mergeCell ref="C6:C13"/>
  </mergeCells>
  <pageMargins left="0.70866141732283472" right="0.70866141732283472" top="0.74803149606299213" bottom="0.74803149606299213" header="0.31496062992125984" footer="0.31496062992125984"/>
  <pageSetup paperSize="9" scale="87"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B3:P71"/>
  <sheetViews>
    <sheetView topLeftCell="A34" workbookViewId="0">
      <selection activeCell="M32" sqref="M32"/>
    </sheetView>
  </sheetViews>
  <sheetFormatPr defaultRowHeight="15" x14ac:dyDescent="0.25"/>
  <cols>
    <col min="2" max="2" width="35.5703125" bestFit="1" customWidth="1"/>
    <col min="3" max="3" width="26" bestFit="1" customWidth="1"/>
  </cols>
  <sheetData>
    <row r="3" spans="2:9" ht="15.75" thickBot="1" x14ac:dyDescent="0.3">
      <c r="B3" s="8" t="s">
        <v>265</v>
      </c>
      <c r="C3" s="79"/>
      <c r="D3" s="107" t="s">
        <v>145</v>
      </c>
      <c r="E3" s="107" t="s">
        <v>171</v>
      </c>
      <c r="F3" s="107" t="s">
        <v>172</v>
      </c>
    </row>
    <row r="4" spans="2:9" ht="15.75" thickTop="1" x14ac:dyDescent="0.25">
      <c r="B4" s="8" t="s">
        <v>266</v>
      </c>
      <c r="C4" s="103" t="s">
        <v>128</v>
      </c>
      <c r="D4" s="81">
        <v>100</v>
      </c>
      <c r="E4" s="81">
        <v>100</v>
      </c>
      <c r="F4" s="81">
        <v>90</v>
      </c>
      <c r="H4" s="62"/>
      <c r="I4" s="62"/>
    </row>
    <row r="5" spans="2:9" x14ac:dyDescent="0.25">
      <c r="B5" s="8" t="s">
        <v>210</v>
      </c>
      <c r="C5" s="103" t="s">
        <v>129</v>
      </c>
      <c r="D5" s="81">
        <v>100</v>
      </c>
      <c r="E5" s="81">
        <v>100</v>
      </c>
      <c r="F5" s="81">
        <v>90</v>
      </c>
      <c r="G5" s="62"/>
      <c r="H5" s="62"/>
      <c r="I5" s="62"/>
    </row>
    <row r="6" spans="2:9" x14ac:dyDescent="0.25">
      <c r="C6" s="103" t="s">
        <v>130</v>
      </c>
      <c r="D6" s="81">
        <v>100</v>
      </c>
      <c r="E6" s="81">
        <v>100</v>
      </c>
      <c r="F6" s="81">
        <v>90</v>
      </c>
      <c r="G6" s="62"/>
      <c r="H6" s="62"/>
      <c r="I6" s="62"/>
    </row>
    <row r="7" spans="2:9" x14ac:dyDescent="0.25">
      <c r="C7" s="103" t="s">
        <v>131</v>
      </c>
      <c r="D7" s="81">
        <v>50</v>
      </c>
      <c r="E7" s="81">
        <v>60</v>
      </c>
      <c r="F7" s="81">
        <v>80</v>
      </c>
      <c r="G7" s="62"/>
      <c r="H7" s="62"/>
      <c r="I7" s="62"/>
    </row>
    <row r="8" spans="2:9" x14ac:dyDescent="0.25">
      <c r="C8" s="103" t="s">
        <v>132</v>
      </c>
      <c r="D8" s="81">
        <v>50</v>
      </c>
      <c r="E8" s="81">
        <v>60</v>
      </c>
      <c r="F8" s="81">
        <v>80</v>
      </c>
      <c r="G8" s="62"/>
      <c r="H8" s="62"/>
      <c r="I8" s="62"/>
    </row>
    <row r="9" spans="2:9" x14ac:dyDescent="0.25">
      <c r="C9" s="103" t="s">
        <v>133</v>
      </c>
      <c r="D9" s="81">
        <v>40</v>
      </c>
      <c r="E9" s="81">
        <v>40</v>
      </c>
      <c r="F9" s="81">
        <v>40</v>
      </c>
      <c r="G9" s="62"/>
      <c r="H9" s="62"/>
      <c r="I9" s="62"/>
    </row>
    <row r="10" spans="2:9" x14ac:dyDescent="0.25">
      <c r="C10" s="103" t="s">
        <v>134</v>
      </c>
      <c r="D10" s="81">
        <v>40</v>
      </c>
      <c r="E10" s="81">
        <v>40</v>
      </c>
      <c r="F10" s="81">
        <v>40</v>
      </c>
      <c r="G10" s="62"/>
      <c r="H10" s="62"/>
      <c r="I10" s="62"/>
    </row>
    <row r="11" spans="2:9" x14ac:dyDescent="0.25">
      <c r="C11" s="103" t="s">
        <v>135</v>
      </c>
      <c r="D11" s="81">
        <v>100</v>
      </c>
      <c r="E11" s="81">
        <v>100</v>
      </c>
      <c r="F11" s="81">
        <v>90</v>
      </c>
      <c r="G11" s="62"/>
      <c r="H11" s="62"/>
      <c r="I11" s="62"/>
    </row>
    <row r="12" spans="2:9" x14ac:dyDescent="0.25">
      <c r="C12" s="103" t="s">
        <v>136</v>
      </c>
      <c r="D12" s="81">
        <v>100</v>
      </c>
      <c r="E12" s="81">
        <v>100</v>
      </c>
      <c r="F12" s="81">
        <v>90</v>
      </c>
      <c r="G12" s="62"/>
      <c r="H12" s="62"/>
      <c r="I12" s="62"/>
    </row>
    <row r="13" spans="2:9" x14ac:dyDescent="0.25">
      <c r="C13" s="103" t="s">
        <v>137</v>
      </c>
      <c r="D13" s="81">
        <v>100</v>
      </c>
      <c r="E13" s="81">
        <v>100</v>
      </c>
      <c r="F13" s="81">
        <v>90</v>
      </c>
      <c r="G13" s="62"/>
      <c r="H13" s="62"/>
      <c r="I13" s="62"/>
    </row>
    <row r="16" spans="2:9" ht="30" x14ac:dyDescent="0.25">
      <c r="B16" s="8" t="s">
        <v>267</v>
      </c>
      <c r="C16" s="106" t="s">
        <v>226</v>
      </c>
      <c r="D16" s="106" t="s">
        <v>221</v>
      </c>
      <c r="E16" s="106" t="s">
        <v>222</v>
      </c>
      <c r="F16" s="106" t="s">
        <v>223</v>
      </c>
      <c r="G16" s="106" t="s">
        <v>224</v>
      </c>
      <c r="H16" s="106" t="s">
        <v>225</v>
      </c>
    </row>
    <row r="17" spans="2:10" x14ac:dyDescent="0.25">
      <c r="B17" s="26" t="s">
        <v>315</v>
      </c>
      <c r="C17" s="81">
        <v>100</v>
      </c>
      <c r="D17" s="81">
        <v>50</v>
      </c>
      <c r="E17" s="81">
        <v>100</v>
      </c>
      <c r="F17" s="81">
        <v>50</v>
      </c>
      <c r="G17" s="81">
        <v>100</v>
      </c>
      <c r="H17" s="81">
        <v>50</v>
      </c>
    </row>
    <row r="18" spans="2:10" x14ac:dyDescent="0.25">
      <c r="B18" s="8" t="s">
        <v>239</v>
      </c>
    </row>
    <row r="21" spans="2:10" x14ac:dyDescent="0.25">
      <c r="B21" s="8" t="s">
        <v>268</v>
      </c>
      <c r="C21" s="80" t="s">
        <v>154</v>
      </c>
      <c r="D21" s="80" t="s">
        <v>155</v>
      </c>
      <c r="E21" s="80" t="s">
        <v>156</v>
      </c>
      <c r="F21" s="80" t="s">
        <v>157</v>
      </c>
      <c r="G21" s="80" t="s">
        <v>158</v>
      </c>
      <c r="H21" s="80" t="s">
        <v>159</v>
      </c>
      <c r="I21" s="80" t="s">
        <v>160</v>
      </c>
      <c r="J21" s="80" t="s">
        <v>165</v>
      </c>
    </row>
    <row r="22" spans="2:10" x14ac:dyDescent="0.25">
      <c r="B22" s="8" t="s">
        <v>269</v>
      </c>
      <c r="C22" s="81">
        <v>0</v>
      </c>
      <c r="D22" s="81">
        <v>0</v>
      </c>
      <c r="E22" s="81">
        <v>10</v>
      </c>
      <c r="F22" s="81">
        <v>0</v>
      </c>
      <c r="G22" s="81">
        <v>0</v>
      </c>
      <c r="H22" s="81">
        <v>0</v>
      </c>
      <c r="I22" s="81">
        <v>0</v>
      </c>
      <c r="J22" s="81">
        <v>0</v>
      </c>
    </row>
    <row r="23" spans="2:10" x14ac:dyDescent="0.25">
      <c r="B23" s="8" t="s">
        <v>209</v>
      </c>
    </row>
    <row r="26" spans="2:10" x14ac:dyDescent="0.25">
      <c r="B26" s="8" t="s">
        <v>270</v>
      </c>
      <c r="C26" s="80" t="s">
        <v>154</v>
      </c>
      <c r="D26" s="80" t="s">
        <v>155</v>
      </c>
      <c r="E26" s="80" t="s">
        <v>156</v>
      </c>
      <c r="F26" s="80" t="s">
        <v>157</v>
      </c>
      <c r="G26" s="80" t="s">
        <v>158</v>
      </c>
      <c r="H26" s="80" t="s">
        <v>159</v>
      </c>
      <c r="I26" s="80" t="s">
        <v>160</v>
      </c>
      <c r="J26" s="80" t="s">
        <v>165</v>
      </c>
    </row>
    <row r="27" spans="2:10" x14ac:dyDescent="0.25">
      <c r="B27" s="8" t="s">
        <v>271</v>
      </c>
      <c r="C27" s="81">
        <v>0</v>
      </c>
      <c r="D27" s="81">
        <v>0</v>
      </c>
      <c r="E27" s="81">
        <v>0</v>
      </c>
      <c r="F27" s="81">
        <v>0</v>
      </c>
      <c r="G27" s="81">
        <v>0</v>
      </c>
      <c r="H27" s="81">
        <v>0</v>
      </c>
      <c r="I27" s="81">
        <v>0</v>
      </c>
      <c r="J27" s="81">
        <v>0</v>
      </c>
    </row>
    <row r="28" spans="2:10" x14ac:dyDescent="0.25">
      <c r="B28" s="8" t="s">
        <v>209</v>
      </c>
      <c r="C28" s="62"/>
      <c r="D28" s="62"/>
      <c r="E28" s="62"/>
      <c r="F28" s="62"/>
      <c r="G28" s="62"/>
      <c r="H28" s="62"/>
      <c r="I28" s="62"/>
      <c r="J28" s="62"/>
    </row>
    <row r="31" spans="2:10" x14ac:dyDescent="0.25">
      <c r="B31" s="8" t="s">
        <v>272</v>
      </c>
      <c r="C31" s="80" t="s">
        <v>154</v>
      </c>
      <c r="D31" s="80" t="s">
        <v>155</v>
      </c>
      <c r="E31" s="80" t="s">
        <v>156</v>
      </c>
      <c r="F31" s="80" t="s">
        <v>157</v>
      </c>
      <c r="G31" s="80" t="s">
        <v>158</v>
      </c>
      <c r="H31" s="80" t="s">
        <v>159</v>
      </c>
      <c r="I31" s="80" t="s">
        <v>160</v>
      </c>
      <c r="J31" s="80" t="s">
        <v>165</v>
      </c>
    </row>
    <row r="32" spans="2:10" x14ac:dyDescent="0.25">
      <c r="B32" s="8" t="s">
        <v>273</v>
      </c>
      <c r="C32" s="81">
        <v>10</v>
      </c>
      <c r="D32" s="81">
        <v>10</v>
      </c>
      <c r="E32" s="81">
        <v>10</v>
      </c>
      <c r="F32" s="81">
        <v>10</v>
      </c>
      <c r="G32" s="81">
        <v>10</v>
      </c>
      <c r="H32" s="81">
        <v>10</v>
      </c>
      <c r="I32" s="81">
        <v>10</v>
      </c>
      <c r="J32" s="81">
        <v>0</v>
      </c>
    </row>
    <row r="33" spans="2:16" x14ac:dyDescent="0.25">
      <c r="B33" s="8" t="s">
        <v>209</v>
      </c>
    </row>
    <row r="36" spans="2:16" x14ac:dyDescent="0.25">
      <c r="B36" s="8" t="s">
        <v>274</v>
      </c>
      <c r="C36" s="80" t="s">
        <v>154</v>
      </c>
      <c r="D36" s="80" t="s">
        <v>155</v>
      </c>
      <c r="E36" s="80" t="s">
        <v>156</v>
      </c>
      <c r="F36" s="80" t="s">
        <v>157</v>
      </c>
      <c r="G36" s="80" t="s">
        <v>158</v>
      </c>
      <c r="H36" s="80" t="s">
        <v>159</v>
      </c>
      <c r="I36" s="80" t="s">
        <v>160</v>
      </c>
      <c r="J36" s="80" t="s">
        <v>165</v>
      </c>
    </row>
    <row r="37" spans="2:16" x14ac:dyDescent="0.25">
      <c r="B37" s="8" t="s">
        <v>275</v>
      </c>
      <c r="C37" s="81">
        <v>0</v>
      </c>
      <c r="D37" s="81">
        <v>0</v>
      </c>
      <c r="E37" s="81">
        <v>0</v>
      </c>
      <c r="F37" s="81">
        <v>0</v>
      </c>
      <c r="G37" s="81">
        <v>0</v>
      </c>
      <c r="H37" s="81">
        <v>0</v>
      </c>
      <c r="I37" s="81">
        <v>0</v>
      </c>
      <c r="J37" s="81">
        <v>0</v>
      </c>
    </row>
    <row r="38" spans="2:16" x14ac:dyDescent="0.25">
      <c r="B38" s="8" t="s">
        <v>209</v>
      </c>
      <c r="C38" s="62"/>
      <c r="D38" s="62"/>
      <c r="E38" s="62"/>
      <c r="F38" s="62"/>
      <c r="G38" s="62"/>
      <c r="H38" s="62"/>
      <c r="I38" s="62"/>
      <c r="J38" s="62"/>
    </row>
    <row r="41" spans="2:16" x14ac:dyDescent="0.25">
      <c r="B41" s="8" t="s">
        <v>276</v>
      </c>
      <c r="E41" s="105">
        <v>1</v>
      </c>
      <c r="F41" s="105">
        <v>2</v>
      </c>
      <c r="G41" s="105">
        <v>3</v>
      </c>
      <c r="H41" s="105">
        <v>4</v>
      </c>
      <c r="I41" s="105">
        <v>5</v>
      </c>
      <c r="J41" s="105">
        <v>6</v>
      </c>
      <c r="K41" s="105">
        <v>7</v>
      </c>
      <c r="L41" s="105">
        <v>8</v>
      </c>
      <c r="M41" s="105">
        <v>9</v>
      </c>
      <c r="N41" s="105">
        <v>10</v>
      </c>
      <c r="O41" s="105">
        <v>11</v>
      </c>
      <c r="P41" s="105">
        <v>12</v>
      </c>
    </row>
    <row r="42" spans="2:16" ht="30" x14ac:dyDescent="0.25">
      <c r="B42" s="73" t="s">
        <v>277</v>
      </c>
      <c r="C42" s="64" t="s">
        <v>128</v>
      </c>
      <c r="D42" s="64" t="s">
        <v>145</v>
      </c>
      <c r="E42" s="79">
        <v>0</v>
      </c>
      <c r="F42" s="79">
        <v>0</v>
      </c>
      <c r="G42" s="79">
        <v>0</v>
      </c>
      <c r="H42" s="79">
        <v>0</v>
      </c>
      <c r="I42" s="79">
        <v>0</v>
      </c>
      <c r="J42" s="79">
        <v>0</v>
      </c>
      <c r="K42" s="79">
        <v>0</v>
      </c>
      <c r="L42" s="79">
        <v>0</v>
      </c>
      <c r="M42" s="79">
        <v>0</v>
      </c>
      <c r="N42" s="79">
        <v>0</v>
      </c>
      <c r="O42" s="79">
        <v>0</v>
      </c>
      <c r="P42" s="79">
        <v>0</v>
      </c>
    </row>
    <row r="43" spans="2:16" x14ac:dyDescent="0.25">
      <c r="C43" s="64" t="s">
        <v>128</v>
      </c>
      <c r="D43" s="64" t="s">
        <v>171</v>
      </c>
      <c r="E43" s="79">
        <v>0</v>
      </c>
      <c r="F43" s="79">
        <v>0</v>
      </c>
      <c r="G43" s="79">
        <v>0</v>
      </c>
      <c r="H43" s="79">
        <v>0</v>
      </c>
      <c r="I43" s="79">
        <v>0</v>
      </c>
      <c r="J43" s="79">
        <v>0</v>
      </c>
      <c r="K43" s="79">
        <v>0</v>
      </c>
      <c r="L43" s="79">
        <v>0</v>
      </c>
      <c r="M43" s="79">
        <v>0</v>
      </c>
      <c r="N43" s="79">
        <v>0</v>
      </c>
      <c r="O43" s="79">
        <v>0</v>
      </c>
      <c r="P43" s="79">
        <v>0</v>
      </c>
    </row>
    <row r="44" spans="2:16" x14ac:dyDescent="0.25">
      <c r="C44" s="64" t="s">
        <v>128</v>
      </c>
      <c r="D44" s="64" t="s">
        <v>172</v>
      </c>
      <c r="E44" s="79">
        <v>0</v>
      </c>
      <c r="F44" s="79">
        <v>0</v>
      </c>
      <c r="G44" s="79">
        <v>0</v>
      </c>
      <c r="H44" s="79">
        <v>0</v>
      </c>
      <c r="I44" s="79">
        <v>0</v>
      </c>
      <c r="J44" s="79">
        <v>0</v>
      </c>
      <c r="K44" s="79">
        <v>0</v>
      </c>
      <c r="L44" s="79">
        <v>0</v>
      </c>
      <c r="M44" s="79">
        <v>0</v>
      </c>
      <c r="N44" s="79">
        <v>0</v>
      </c>
      <c r="O44" s="79">
        <v>0</v>
      </c>
      <c r="P44" s="79">
        <v>0</v>
      </c>
    </row>
    <row r="45" spans="2:16" x14ac:dyDescent="0.25">
      <c r="C45" s="64" t="s">
        <v>129</v>
      </c>
      <c r="D45" s="64" t="s">
        <v>145</v>
      </c>
      <c r="E45" s="79">
        <v>0</v>
      </c>
      <c r="F45" s="79">
        <v>0</v>
      </c>
      <c r="G45" s="79">
        <v>0</v>
      </c>
      <c r="H45" s="79">
        <v>0</v>
      </c>
      <c r="I45" s="79">
        <v>0</v>
      </c>
      <c r="J45" s="79">
        <v>0</v>
      </c>
      <c r="K45" s="79">
        <v>0</v>
      </c>
      <c r="L45" s="79">
        <v>0</v>
      </c>
      <c r="M45" s="79">
        <v>0</v>
      </c>
      <c r="N45" s="79">
        <v>0</v>
      </c>
      <c r="O45" s="79">
        <v>0</v>
      </c>
      <c r="P45" s="79">
        <v>0</v>
      </c>
    </row>
    <row r="46" spans="2:16" x14ac:dyDescent="0.25">
      <c r="C46" s="64" t="s">
        <v>129</v>
      </c>
      <c r="D46" s="64" t="s">
        <v>171</v>
      </c>
      <c r="E46" s="79">
        <v>0</v>
      </c>
      <c r="F46" s="79">
        <v>0</v>
      </c>
      <c r="G46" s="79">
        <v>0</v>
      </c>
      <c r="H46" s="79">
        <v>0</v>
      </c>
      <c r="I46" s="79">
        <v>0</v>
      </c>
      <c r="J46" s="79">
        <v>0</v>
      </c>
      <c r="K46" s="79">
        <v>0</v>
      </c>
      <c r="L46" s="79">
        <v>0</v>
      </c>
      <c r="M46" s="79">
        <v>0</v>
      </c>
      <c r="N46" s="79">
        <v>0</v>
      </c>
      <c r="O46" s="79">
        <v>0</v>
      </c>
      <c r="P46" s="79">
        <v>0</v>
      </c>
    </row>
    <row r="47" spans="2:16" x14ac:dyDescent="0.25">
      <c r="C47" s="64" t="s">
        <v>129</v>
      </c>
      <c r="D47" s="64" t="s">
        <v>172</v>
      </c>
      <c r="E47" s="79">
        <v>0</v>
      </c>
      <c r="F47" s="79">
        <v>0</v>
      </c>
      <c r="G47" s="79">
        <v>0</v>
      </c>
      <c r="H47" s="79">
        <v>0</v>
      </c>
      <c r="I47" s="79">
        <v>0</v>
      </c>
      <c r="J47" s="79">
        <v>0</v>
      </c>
      <c r="K47" s="79">
        <v>0</v>
      </c>
      <c r="L47" s="79">
        <v>0</v>
      </c>
      <c r="M47" s="79">
        <v>0</v>
      </c>
      <c r="N47" s="79">
        <v>0</v>
      </c>
      <c r="O47" s="79">
        <v>0</v>
      </c>
      <c r="P47" s="79">
        <v>0</v>
      </c>
    </row>
    <row r="48" spans="2:16" x14ac:dyDescent="0.25">
      <c r="C48" s="64" t="s">
        <v>130</v>
      </c>
      <c r="D48" s="64" t="s">
        <v>145</v>
      </c>
      <c r="E48" s="79">
        <v>0</v>
      </c>
      <c r="F48" s="79">
        <v>0</v>
      </c>
      <c r="G48" s="79">
        <v>0</v>
      </c>
      <c r="H48" s="79">
        <v>0</v>
      </c>
      <c r="I48" s="79">
        <v>0</v>
      </c>
      <c r="J48" s="79">
        <v>0</v>
      </c>
      <c r="K48" s="79">
        <v>0</v>
      </c>
      <c r="L48" s="79">
        <v>0</v>
      </c>
      <c r="M48" s="79">
        <v>0</v>
      </c>
      <c r="N48" s="79">
        <v>0</v>
      </c>
      <c r="O48" s="79">
        <v>0</v>
      </c>
      <c r="P48" s="79">
        <v>0</v>
      </c>
    </row>
    <row r="49" spans="3:16" x14ac:dyDescent="0.25">
      <c r="C49" s="64" t="s">
        <v>130</v>
      </c>
      <c r="D49" s="64" t="s">
        <v>171</v>
      </c>
      <c r="E49" s="79">
        <v>0</v>
      </c>
      <c r="F49" s="79">
        <v>0</v>
      </c>
      <c r="G49" s="79">
        <v>0</v>
      </c>
      <c r="H49" s="79">
        <v>0</v>
      </c>
      <c r="I49" s="79">
        <v>0</v>
      </c>
      <c r="J49" s="79">
        <v>0</v>
      </c>
      <c r="K49" s="79">
        <v>0</v>
      </c>
      <c r="L49" s="79">
        <v>0</v>
      </c>
      <c r="M49" s="79">
        <v>0</v>
      </c>
      <c r="N49" s="79">
        <v>0</v>
      </c>
      <c r="O49" s="79">
        <v>0</v>
      </c>
      <c r="P49" s="79">
        <v>0</v>
      </c>
    </row>
    <row r="50" spans="3:16" x14ac:dyDescent="0.25">
      <c r="C50" s="64" t="s">
        <v>130</v>
      </c>
      <c r="D50" s="64" t="s">
        <v>172</v>
      </c>
      <c r="E50" s="79">
        <v>0</v>
      </c>
      <c r="F50" s="79">
        <v>0</v>
      </c>
      <c r="G50" s="79">
        <v>0</v>
      </c>
      <c r="H50" s="79">
        <v>0</v>
      </c>
      <c r="I50" s="79">
        <v>0</v>
      </c>
      <c r="J50" s="79">
        <v>0</v>
      </c>
      <c r="K50" s="79">
        <v>0</v>
      </c>
      <c r="L50" s="79">
        <v>0</v>
      </c>
      <c r="M50" s="79">
        <v>0</v>
      </c>
      <c r="N50" s="79">
        <v>0</v>
      </c>
      <c r="O50" s="79">
        <v>0</v>
      </c>
      <c r="P50" s="79">
        <v>0</v>
      </c>
    </row>
    <row r="51" spans="3:16" x14ac:dyDescent="0.25">
      <c r="C51" s="64" t="s">
        <v>131</v>
      </c>
      <c r="D51" s="64" t="s">
        <v>145</v>
      </c>
      <c r="E51" s="79">
        <v>0</v>
      </c>
      <c r="F51" s="79">
        <v>0</v>
      </c>
      <c r="G51" s="79">
        <v>0</v>
      </c>
      <c r="H51" s="79">
        <v>0</v>
      </c>
      <c r="I51" s="79">
        <v>0</v>
      </c>
      <c r="J51" s="79">
        <v>0</v>
      </c>
      <c r="K51" s="79">
        <v>0</v>
      </c>
      <c r="L51" s="79">
        <v>0</v>
      </c>
      <c r="M51" s="79">
        <v>0</v>
      </c>
      <c r="N51" s="79">
        <v>0</v>
      </c>
      <c r="O51" s="79">
        <v>0</v>
      </c>
      <c r="P51" s="79">
        <v>0</v>
      </c>
    </row>
    <row r="52" spans="3:16" x14ac:dyDescent="0.25">
      <c r="C52" s="64" t="s">
        <v>131</v>
      </c>
      <c r="D52" s="64" t="s">
        <v>171</v>
      </c>
      <c r="E52" s="79">
        <v>0</v>
      </c>
      <c r="F52" s="79">
        <v>0</v>
      </c>
      <c r="G52" s="79">
        <v>0</v>
      </c>
      <c r="H52" s="79">
        <v>0</v>
      </c>
      <c r="I52" s="79">
        <v>0</v>
      </c>
      <c r="J52" s="79">
        <v>0</v>
      </c>
      <c r="K52" s="79">
        <v>0</v>
      </c>
      <c r="L52" s="79">
        <v>0</v>
      </c>
      <c r="M52" s="79">
        <v>0</v>
      </c>
      <c r="N52" s="79">
        <v>0</v>
      </c>
      <c r="O52" s="79">
        <v>0</v>
      </c>
      <c r="P52" s="79">
        <v>0</v>
      </c>
    </row>
    <row r="53" spans="3:16" x14ac:dyDescent="0.25">
      <c r="C53" s="64" t="s">
        <v>131</v>
      </c>
      <c r="D53" s="64" t="s">
        <v>172</v>
      </c>
      <c r="E53" s="79">
        <v>0</v>
      </c>
      <c r="F53" s="79">
        <v>0</v>
      </c>
      <c r="G53" s="79">
        <v>0</v>
      </c>
      <c r="H53" s="79">
        <v>0</v>
      </c>
      <c r="I53" s="79">
        <v>0</v>
      </c>
      <c r="J53" s="79">
        <v>0</v>
      </c>
      <c r="K53" s="79">
        <v>0</v>
      </c>
      <c r="L53" s="79">
        <v>0</v>
      </c>
      <c r="M53" s="79">
        <v>0</v>
      </c>
      <c r="N53" s="79">
        <v>0</v>
      </c>
      <c r="O53" s="79">
        <v>0</v>
      </c>
      <c r="P53" s="79">
        <v>0</v>
      </c>
    </row>
    <row r="54" spans="3:16" x14ac:dyDescent="0.25">
      <c r="C54" s="64" t="s">
        <v>132</v>
      </c>
      <c r="D54" s="64" t="s">
        <v>145</v>
      </c>
      <c r="E54" s="79">
        <v>0</v>
      </c>
      <c r="F54" s="79">
        <v>0</v>
      </c>
      <c r="G54" s="79">
        <v>0</v>
      </c>
      <c r="H54" s="79">
        <v>0</v>
      </c>
      <c r="I54" s="79">
        <v>0</v>
      </c>
      <c r="J54" s="79">
        <v>0</v>
      </c>
      <c r="K54" s="79">
        <v>0</v>
      </c>
      <c r="L54" s="79">
        <v>0</v>
      </c>
      <c r="M54" s="79">
        <v>0</v>
      </c>
      <c r="N54" s="79">
        <v>0</v>
      </c>
      <c r="O54" s="79">
        <v>0</v>
      </c>
      <c r="P54" s="79">
        <v>0</v>
      </c>
    </row>
    <row r="55" spans="3:16" x14ac:dyDescent="0.25">
      <c r="C55" s="64" t="s">
        <v>132</v>
      </c>
      <c r="D55" s="64" t="s">
        <v>171</v>
      </c>
      <c r="E55" s="79">
        <v>0</v>
      </c>
      <c r="F55" s="79">
        <v>0</v>
      </c>
      <c r="G55" s="79">
        <v>0</v>
      </c>
      <c r="H55" s="79">
        <v>0</v>
      </c>
      <c r="I55" s="79">
        <v>0</v>
      </c>
      <c r="J55" s="79">
        <v>0</v>
      </c>
      <c r="K55" s="79">
        <v>0</v>
      </c>
      <c r="L55" s="79">
        <v>0</v>
      </c>
      <c r="M55" s="79">
        <v>0</v>
      </c>
      <c r="N55" s="79">
        <v>0</v>
      </c>
      <c r="O55" s="79">
        <v>0</v>
      </c>
      <c r="P55" s="79">
        <v>0</v>
      </c>
    </row>
    <row r="56" spans="3:16" x14ac:dyDescent="0.25">
      <c r="C56" s="64" t="s">
        <v>132</v>
      </c>
      <c r="D56" s="64" t="s">
        <v>172</v>
      </c>
      <c r="E56" s="79">
        <v>0</v>
      </c>
      <c r="F56" s="79">
        <v>0</v>
      </c>
      <c r="G56" s="79">
        <v>0</v>
      </c>
      <c r="H56" s="79">
        <v>0</v>
      </c>
      <c r="I56" s="79">
        <v>0</v>
      </c>
      <c r="J56" s="79">
        <v>0</v>
      </c>
      <c r="K56" s="79">
        <v>0</v>
      </c>
      <c r="L56" s="79">
        <v>0</v>
      </c>
      <c r="M56" s="79">
        <v>0</v>
      </c>
      <c r="N56" s="79">
        <v>0</v>
      </c>
      <c r="O56" s="79">
        <v>0</v>
      </c>
      <c r="P56" s="79">
        <v>0</v>
      </c>
    </row>
    <row r="57" spans="3:16" x14ac:dyDescent="0.25">
      <c r="C57" s="64" t="s">
        <v>133</v>
      </c>
      <c r="D57" s="64" t="s">
        <v>145</v>
      </c>
      <c r="E57" s="79">
        <v>0</v>
      </c>
      <c r="F57" s="79">
        <v>0</v>
      </c>
      <c r="G57" s="79">
        <v>0</v>
      </c>
      <c r="H57" s="79">
        <v>0</v>
      </c>
      <c r="I57" s="79">
        <v>0</v>
      </c>
      <c r="J57" s="79">
        <v>0</v>
      </c>
      <c r="K57" s="79">
        <v>0</v>
      </c>
      <c r="L57" s="79">
        <v>0</v>
      </c>
      <c r="M57" s="79">
        <v>0</v>
      </c>
      <c r="N57" s="79">
        <v>0</v>
      </c>
      <c r="O57" s="79">
        <v>0</v>
      </c>
      <c r="P57" s="79">
        <v>0</v>
      </c>
    </row>
    <row r="58" spans="3:16" x14ac:dyDescent="0.25">
      <c r="C58" s="64" t="s">
        <v>133</v>
      </c>
      <c r="D58" s="64" t="s">
        <v>171</v>
      </c>
      <c r="E58" s="79">
        <v>0</v>
      </c>
      <c r="F58" s="79">
        <v>0</v>
      </c>
      <c r="G58" s="79">
        <v>0</v>
      </c>
      <c r="H58" s="79">
        <v>0</v>
      </c>
      <c r="I58" s="79">
        <v>0</v>
      </c>
      <c r="J58" s="79">
        <v>0</v>
      </c>
      <c r="K58" s="79">
        <v>0</v>
      </c>
      <c r="L58" s="79">
        <v>0</v>
      </c>
      <c r="M58" s="79">
        <v>0</v>
      </c>
      <c r="N58" s="79">
        <v>0</v>
      </c>
      <c r="O58" s="79">
        <v>0</v>
      </c>
      <c r="P58" s="79">
        <v>0</v>
      </c>
    </row>
    <row r="59" spans="3:16" x14ac:dyDescent="0.25">
      <c r="C59" s="64" t="s">
        <v>133</v>
      </c>
      <c r="D59" s="64" t="s">
        <v>172</v>
      </c>
      <c r="E59" s="79">
        <v>0</v>
      </c>
      <c r="F59" s="79">
        <v>0</v>
      </c>
      <c r="G59" s="79">
        <v>0</v>
      </c>
      <c r="H59" s="79">
        <v>0</v>
      </c>
      <c r="I59" s="79">
        <v>0</v>
      </c>
      <c r="J59" s="79">
        <v>0</v>
      </c>
      <c r="K59" s="79">
        <v>0</v>
      </c>
      <c r="L59" s="79">
        <v>0</v>
      </c>
      <c r="M59" s="79">
        <v>0</v>
      </c>
      <c r="N59" s="79">
        <v>0</v>
      </c>
      <c r="O59" s="79">
        <v>0</v>
      </c>
      <c r="P59" s="79">
        <v>0</v>
      </c>
    </row>
    <row r="60" spans="3:16" x14ac:dyDescent="0.25">
      <c r="C60" s="64" t="s">
        <v>134</v>
      </c>
      <c r="D60" s="64" t="s">
        <v>145</v>
      </c>
      <c r="E60" s="79">
        <v>0</v>
      </c>
      <c r="F60" s="79">
        <v>0</v>
      </c>
      <c r="G60" s="79">
        <v>0</v>
      </c>
      <c r="H60" s="79">
        <v>0</v>
      </c>
      <c r="I60" s="79">
        <v>0</v>
      </c>
      <c r="J60" s="79">
        <v>0</v>
      </c>
      <c r="K60" s="79">
        <v>0</v>
      </c>
      <c r="L60" s="79">
        <v>0</v>
      </c>
      <c r="M60" s="79">
        <v>0</v>
      </c>
      <c r="N60" s="79">
        <v>0</v>
      </c>
      <c r="O60" s="79">
        <v>0</v>
      </c>
      <c r="P60" s="79">
        <v>0</v>
      </c>
    </row>
    <row r="61" spans="3:16" x14ac:dyDescent="0.25">
      <c r="C61" s="64" t="s">
        <v>134</v>
      </c>
      <c r="D61" s="64" t="s">
        <v>171</v>
      </c>
      <c r="E61" s="79">
        <v>0</v>
      </c>
      <c r="F61" s="79">
        <v>0</v>
      </c>
      <c r="G61" s="79">
        <v>0</v>
      </c>
      <c r="H61" s="79">
        <v>0</v>
      </c>
      <c r="I61" s="79">
        <v>0</v>
      </c>
      <c r="J61" s="79">
        <v>0</v>
      </c>
      <c r="K61" s="79">
        <v>0</v>
      </c>
      <c r="L61" s="79">
        <v>0</v>
      </c>
      <c r="M61" s="79">
        <v>0</v>
      </c>
      <c r="N61" s="79">
        <v>0</v>
      </c>
      <c r="O61" s="79">
        <v>0</v>
      </c>
      <c r="P61" s="79">
        <v>0</v>
      </c>
    </row>
    <row r="62" spans="3:16" x14ac:dyDescent="0.25">
      <c r="C62" s="64" t="s">
        <v>134</v>
      </c>
      <c r="D62" s="64" t="s">
        <v>172</v>
      </c>
      <c r="E62" s="79">
        <v>0</v>
      </c>
      <c r="F62" s="79">
        <v>0</v>
      </c>
      <c r="G62" s="79">
        <v>0</v>
      </c>
      <c r="H62" s="79">
        <v>0</v>
      </c>
      <c r="I62" s="79">
        <v>0</v>
      </c>
      <c r="J62" s="79">
        <v>0</v>
      </c>
      <c r="K62" s="79">
        <v>0</v>
      </c>
      <c r="L62" s="79">
        <v>0</v>
      </c>
      <c r="M62" s="79">
        <v>0</v>
      </c>
      <c r="N62" s="79">
        <v>0</v>
      </c>
      <c r="O62" s="79">
        <v>0</v>
      </c>
      <c r="P62" s="79">
        <v>0</v>
      </c>
    </row>
    <row r="63" spans="3:16" x14ac:dyDescent="0.25">
      <c r="C63" s="64" t="s">
        <v>135</v>
      </c>
      <c r="D63" s="64" t="s">
        <v>145</v>
      </c>
      <c r="E63" s="79">
        <v>0</v>
      </c>
      <c r="F63" s="79">
        <v>0</v>
      </c>
      <c r="G63" s="79">
        <v>0</v>
      </c>
      <c r="H63" s="79">
        <v>0</v>
      </c>
      <c r="I63" s="79">
        <v>0</v>
      </c>
      <c r="J63" s="79">
        <v>0</v>
      </c>
      <c r="K63" s="79">
        <v>0</v>
      </c>
      <c r="L63" s="79">
        <v>0</v>
      </c>
      <c r="M63" s="79">
        <v>0</v>
      </c>
      <c r="N63" s="79">
        <v>0</v>
      </c>
      <c r="O63" s="79">
        <v>0</v>
      </c>
      <c r="P63" s="79">
        <v>0</v>
      </c>
    </row>
    <row r="64" spans="3:16" x14ac:dyDescent="0.25">
      <c r="C64" s="64" t="s">
        <v>135</v>
      </c>
      <c r="D64" s="64" t="s">
        <v>171</v>
      </c>
      <c r="E64" s="79">
        <v>0</v>
      </c>
      <c r="F64" s="79">
        <v>0</v>
      </c>
      <c r="G64" s="79">
        <v>0</v>
      </c>
      <c r="H64" s="79">
        <v>0</v>
      </c>
      <c r="I64" s="79">
        <v>0</v>
      </c>
      <c r="J64" s="79">
        <v>0</v>
      </c>
      <c r="K64" s="79">
        <v>0</v>
      </c>
      <c r="L64" s="79">
        <v>0</v>
      </c>
      <c r="M64" s="79">
        <v>0</v>
      </c>
      <c r="N64" s="79">
        <v>0</v>
      </c>
      <c r="O64" s="79">
        <v>0</v>
      </c>
      <c r="P64" s="79">
        <v>0</v>
      </c>
    </row>
    <row r="65" spans="3:16" x14ac:dyDescent="0.25">
      <c r="C65" s="64" t="s">
        <v>135</v>
      </c>
      <c r="D65" s="64" t="s">
        <v>172</v>
      </c>
      <c r="E65" s="79">
        <v>0</v>
      </c>
      <c r="F65" s="79">
        <v>0</v>
      </c>
      <c r="G65" s="79">
        <v>0</v>
      </c>
      <c r="H65" s="79">
        <v>0</v>
      </c>
      <c r="I65" s="79">
        <v>0</v>
      </c>
      <c r="J65" s="79">
        <v>0</v>
      </c>
      <c r="K65" s="79">
        <v>0</v>
      </c>
      <c r="L65" s="79">
        <v>0</v>
      </c>
      <c r="M65" s="79">
        <v>0</v>
      </c>
      <c r="N65" s="79">
        <v>0</v>
      </c>
      <c r="O65" s="79">
        <v>0</v>
      </c>
      <c r="P65" s="79">
        <v>0</v>
      </c>
    </row>
    <row r="66" spans="3:16" x14ac:dyDescent="0.25">
      <c r="C66" s="64" t="s">
        <v>136</v>
      </c>
      <c r="D66" s="64" t="s">
        <v>145</v>
      </c>
      <c r="E66" s="79">
        <v>0</v>
      </c>
      <c r="F66" s="79">
        <v>0</v>
      </c>
      <c r="G66" s="79">
        <v>0</v>
      </c>
      <c r="H66" s="79">
        <v>0</v>
      </c>
      <c r="I66" s="79">
        <v>0</v>
      </c>
      <c r="J66" s="79">
        <v>0</v>
      </c>
      <c r="K66" s="79">
        <v>0</v>
      </c>
      <c r="L66" s="79">
        <v>0</v>
      </c>
      <c r="M66" s="79">
        <v>0</v>
      </c>
      <c r="N66" s="79">
        <v>0</v>
      </c>
      <c r="O66" s="79">
        <v>0</v>
      </c>
      <c r="P66" s="79">
        <v>0</v>
      </c>
    </row>
    <row r="67" spans="3:16" x14ac:dyDescent="0.25">
      <c r="C67" s="64" t="s">
        <v>136</v>
      </c>
      <c r="D67" s="64" t="s">
        <v>171</v>
      </c>
      <c r="E67" s="79">
        <v>0</v>
      </c>
      <c r="F67" s="79">
        <v>0</v>
      </c>
      <c r="G67" s="79">
        <v>0</v>
      </c>
      <c r="H67" s="79">
        <v>0</v>
      </c>
      <c r="I67" s="79">
        <v>0</v>
      </c>
      <c r="J67" s="79">
        <v>0</v>
      </c>
      <c r="K67" s="79">
        <v>0</v>
      </c>
      <c r="L67" s="79">
        <v>0</v>
      </c>
      <c r="M67" s="79">
        <v>0</v>
      </c>
      <c r="N67" s="79">
        <v>0</v>
      </c>
      <c r="O67" s="79">
        <v>0</v>
      </c>
      <c r="P67" s="79">
        <v>0</v>
      </c>
    </row>
    <row r="68" spans="3:16" x14ac:dyDescent="0.25">
      <c r="C68" s="64" t="s">
        <v>136</v>
      </c>
      <c r="D68" s="64" t="s">
        <v>172</v>
      </c>
      <c r="E68" s="79">
        <v>0</v>
      </c>
      <c r="F68" s="79">
        <v>0</v>
      </c>
      <c r="G68" s="79">
        <v>0</v>
      </c>
      <c r="H68" s="79">
        <v>0</v>
      </c>
      <c r="I68" s="79">
        <v>0</v>
      </c>
      <c r="J68" s="79">
        <v>0</v>
      </c>
      <c r="K68" s="79">
        <v>0</v>
      </c>
      <c r="L68" s="79">
        <v>0</v>
      </c>
      <c r="M68" s="79">
        <v>0</v>
      </c>
      <c r="N68" s="79">
        <v>0</v>
      </c>
      <c r="O68" s="79">
        <v>0</v>
      </c>
      <c r="P68" s="79">
        <v>0</v>
      </c>
    </row>
    <row r="69" spans="3:16" x14ac:dyDescent="0.25">
      <c r="C69" s="64" t="s">
        <v>137</v>
      </c>
      <c r="D69" s="64" t="s">
        <v>145</v>
      </c>
      <c r="E69" s="79">
        <v>0</v>
      </c>
      <c r="F69" s="79">
        <v>0</v>
      </c>
      <c r="G69" s="79">
        <v>0</v>
      </c>
      <c r="H69" s="79">
        <v>0</v>
      </c>
      <c r="I69" s="79">
        <v>0</v>
      </c>
      <c r="J69" s="79">
        <v>0</v>
      </c>
      <c r="K69" s="79">
        <v>0</v>
      </c>
      <c r="L69" s="79">
        <v>0</v>
      </c>
      <c r="M69" s="79">
        <v>0</v>
      </c>
      <c r="N69" s="79">
        <v>0</v>
      </c>
      <c r="O69" s="79">
        <v>0</v>
      </c>
      <c r="P69" s="79">
        <v>0</v>
      </c>
    </row>
    <row r="70" spans="3:16" x14ac:dyDescent="0.25">
      <c r="C70" s="64" t="s">
        <v>137</v>
      </c>
      <c r="D70" s="64" t="s">
        <v>171</v>
      </c>
      <c r="E70" s="79">
        <v>0</v>
      </c>
      <c r="F70" s="79">
        <v>0</v>
      </c>
      <c r="G70" s="79">
        <v>0</v>
      </c>
      <c r="H70" s="79">
        <v>0</v>
      </c>
      <c r="I70" s="79">
        <v>0</v>
      </c>
      <c r="J70" s="79">
        <v>0</v>
      </c>
      <c r="K70" s="79">
        <v>0</v>
      </c>
      <c r="L70" s="79">
        <v>0</v>
      </c>
      <c r="M70" s="79">
        <v>0</v>
      </c>
      <c r="N70" s="79">
        <v>0</v>
      </c>
      <c r="O70" s="79">
        <v>0</v>
      </c>
      <c r="P70" s="79">
        <v>0</v>
      </c>
    </row>
    <row r="71" spans="3:16" x14ac:dyDescent="0.25">
      <c r="C71" s="64" t="s">
        <v>137</v>
      </c>
      <c r="D71" s="64" t="s">
        <v>172</v>
      </c>
      <c r="E71" s="79">
        <v>0</v>
      </c>
      <c r="F71" s="79">
        <v>0</v>
      </c>
      <c r="G71" s="79">
        <v>0</v>
      </c>
      <c r="H71" s="79">
        <v>0</v>
      </c>
      <c r="I71" s="79">
        <v>0</v>
      </c>
      <c r="J71" s="79">
        <v>0</v>
      </c>
      <c r="K71" s="79">
        <v>0</v>
      </c>
      <c r="L71" s="79">
        <v>0</v>
      </c>
      <c r="M71" s="79">
        <v>0</v>
      </c>
      <c r="N71" s="79">
        <v>0</v>
      </c>
      <c r="O71" s="79">
        <v>0</v>
      </c>
      <c r="P71" s="79">
        <v>0</v>
      </c>
    </row>
  </sheetData>
  <pageMargins left="0.70866141732283472" right="0.70866141732283472" top="0.74803149606299213" bottom="0.74803149606299213" header="0.31496062992125984" footer="0.31496062992125984"/>
  <pageSetup paperSize="9" scale="45"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3:C15"/>
  <sheetViews>
    <sheetView workbookViewId="0">
      <selection activeCell="C3" sqref="C3:C15"/>
    </sheetView>
  </sheetViews>
  <sheetFormatPr defaultRowHeight="15" x14ac:dyDescent="0.25"/>
  <sheetData>
    <row r="3" spans="3:3" x14ac:dyDescent="0.25">
      <c r="C3" s="25" t="s">
        <v>190</v>
      </c>
    </row>
    <row r="4" spans="3:3" x14ac:dyDescent="0.25">
      <c r="C4" s="25" t="s">
        <v>191</v>
      </c>
    </row>
    <row r="5" spans="3:3" x14ac:dyDescent="0.25">
      <c r="C5" s="25" t="s">
        <v>192</v>
      </c>
    </row>
    <row r="6" spans="3:3" x14ac:dyDescent="0.25">
      <c r="C6" s="25" t="s">
        <v>193</v>
      </c>
    </row>
    <row r="7" spans="3:3" x14ac:dyDescent="0.25">
      <c r="C7" s="25" t="s">
        <v>194</v>
      </c>
    </row>
    <row r="8" spans="3:3" x14ac:dyDescent="0.25">
      <c r="C8" s="25" t="s">
        <v>195</v>
      </c>
    </row>
    <row r="9" spans="3:3" x14ac:dyDescent="0.25">
      <c r="C9" s="25" t="s">
        <v>196</v>
      </c>
    </row>
    <row r="10" spans="3:3" x14ac:dyDescent="0.25">
      <c r="C10" s="25" t="s">
        <v>197</v>
      </c>
    </row>
    <row r="11" spans="3:3" x14ac:dyDescent="0.25">
      <c r="C11" s="25" t="s">
        <v>198</v>
      </c>
    </row>
    <row r="12" spans="3:3" x14ac:dyDescent="0.25">
      <c r="C12" s="25" t="s">
        <v>197</v>
      </c>
    </row>
    <row r="13" spans="3:3" x14ac:dyDescent="0.25">
      <c r="C13" s="25" t="s">
        <v>199</v>
      </c>
    </row>
    <row r="14" spans="3:3" x14ac:dyDescent="0.25">
      <c r="C14" s="25" t="s">
        <v>200</v>
      </c>
    </row>
    <row r="15" spans="3:3" x14ac:dyDescent="0.25">
      <c r="C15" s="25" t="s">
        <v>201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vt:i4>
      </vt:variant>
    </vt:vector>
  </HeadingPairs>
  <TitlesOfParts>
    <vt:vector size="27" baseType="lpstr">
      <vt:lpstr>Sheet1</vt:lpstr>
      <vt:lpstr>Sets</vt:lpstr>
      <vt:lpstr>Par</vt:lpstr>
      <vt:lpstr>Par (2)</vt:lpstr>
      <vt:lpstr>Sheet2</vt:lpstr>
      <vt:lpstr>Table</vt:lpstr>
      <vt:lpstr>Main</vt:lpstr>
      <vt:lpstr>Production Plan - Olefins</vt:lpstr>
      <vt:lpstr>1. Production Plan - Olefins</vt:lpstr>
      <vt:lpstr> 2Production Plan - Polyolefins</vt:lpstr>
      <vt:lpstr>3. Inventory - Ruwais</vt:lpstr>
      <vt:lpstr>4. Inventory - IHPs</vt:lpstr>
      <vt:lpstr>5. Demand fulfilement</vt:lpstr>
      <vt:lpstr>Assumptions &amp; simplifications</vt:lpstr>
      <vt:lpstr>set</vt:lpstr>
      <vt:lpstr>ProductionOlefins</vt:lpstr>
      <vt:lpstr>ProductionPolyolefins</vt:lpstr>
      <vt:lpstr>WarehousesShipping</vt:lpstr>
      <vt:lpstr>ScenarioAvailability</vt:lpstr>
      <vt:lpstr>ScenarioSales</vt:lpstr>
      <vt:lpstr>ScenarioPurchases</vt:lpstr>
      <vt:lpstr>AdditionalParameters</vt:lpstr>
      <vt:lpstr>Sheet9</vt:lpstr>
      <vt:lpstr>ProductionOlefins!Print_Area</vt:lpstr>
      <vt:lpstr>ProductionPolyolefins!Print_Area</vt:lpstr>
      <vt:lpstr>ScenarioSales!Print_Area</vt:lpstr>
      <vt:lpstr>WarehousesShipping!Print_Area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Trung Huynh-Quoc</dc:creator>
  <cp:lastModifiedBy>admin</cp:lastModifiedBy>
  <cp:lastPrinted>2019-07-08T08:08:06Z</cp:lastPrinted>
  <dcterms:created xsi:type="dcterms:W3CDTF">2006-09-16T00:00:00Z</dcterms:created>
  <dcterms:modified xsi:type="dcterms:W3CDTF">2019-07-08T11:07:42Z</dcterms:modified>
</cp:coreProperties>
</file>